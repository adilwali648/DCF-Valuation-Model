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65ed58afa601ead/Desktop/"/>
    </mc:Choice>
  </mc:AlternateContent>
  <xr:revisionPtr revIDLastSave="406" documentId="8_{2B3C6A30-EED8-4579-B874-7A25F59AC4D8}" xr6:coauthVersionLast="47" xr6:coauthVersionMax="47" xr10:uidLastSave="{17DD3669-BDDE-49E7-AD8B-8848D0103281}"/>
  <bookViews>
    <workbookView xWindow="-110" yWindow="-110" windowWidth="19420" windowHeight="10300" tabRatio="667" activeTab="1" xr2:uid="{00000000-000D-0000-FFFF-FFFF00000000}"/>
  </bookViews>
  <sheets>
    <sheet name="DCF&gt;" sheetId="25" r:id="rId1"/>
    <sheet name="WACC" sheetId="26" r:id="rId2"/>
    <sheet name="Data&gt;" sheetId="11" r:id="rId3"/>
    <sheet name="Beta - Regression" sheetId="28" r:id="rId4"/>
    <sheet name="Beta - Comps" sheetId="29" r:id="rId5"/>
    <sheet name="RM" sheetId="30" r:id="rId6"/>
    <sheet name="Intrinsic Growth" sheetId="31" r:id="rId7"/>
    <sheet name="DCF" sheetId="33" r:id="rId8"/>
    <sheet name="Data Sheet" sheetId="6" r:id="rId9"/>
    <sheet name="Historical FS" sheetId="12" r:id="rId10"/>
    <sheet name="Ratio Analysis" sheetId="14" r:id="rId11"/>
    <sheet name="Forecasting" sheetId="15" r:id="rId12"/>
    <sheet name="Data Room&gt;" sheetId="36" r:id="rId13"/>
    <sheet name="Raw FS" sheetId="32" r:id="rId14"/>
  </sheets>
  <externalReferences>
    <externalReference r:id="rId15"/>
  </externalReference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5" i="33" l="1"/>
  <c r="G63" i="31"/>
  <c r="J36" i="31"/>
  <c r="I36" i="31"/>
  <c r="H36" i="31"/>
  <c r="G36" i="31"/>
  <c r="F36" i="31"/>
  <c r="H44" i="31"/>
  <c r="G44" i="31"/>
  <c r="F44" i="31"/>
  <c r="I44" i="31"/>
  <c r="J44" i="31"/>
  <c r="F34" i="31"/>
  <c r="F33" i="31"/>
  <c r="F31" i="31"/>
  <c r="F29" i="31"/>
  <c r="J17" i="31"/>
  <c r="G17" i="31"/>
  <c r="H17" i="31"/>
  <c r="I17" i="31"/>
  <c r="F17" i="31"/>
  <c r="I15" i="26"/>
  <c r="F16" i="26"/>
  <c r="F15" i="26"/>
  <c r="K37" i="26"/>
  <c r="G4" i="33"/>
  <c r="H4" i="33" s="1"/>
  <c r="I4" i="33" s="1"/>
  <c r="J4" i="33" s="1"/>
  <c r="K4" i="33" s="1"/>
  <c r="K31" i="26"/>
  <c r="K40" i="26"/>
  <c r="E21" i="26"/>
  <c r="K22" i="26"/>
  <c r="E30" i="26"/>
  <c r="J49" i="31"/>
  <c r="D24" i="33"/>
  <c r="J34" i="31"/>
  <c r="J33" i="31"/>
  <c r="G7" i="33"/>
  <c r="H7" i="33" s="1"/>
  <c r="I7" i="33" s="1"/>
  <c r="J7" i="33" s="1"/>
  <c r="K7" i="33" s="1"/>
  <c r="I34" i="31"/>
  <c r="F6" i="33"/>
  <c r="N16" i="15"/>
  <c r="N5" i="15" a="1"/>
  <c r="N5" i="15" s="1"/>
  <c r="I15" i="15"/>
  <c r="I7" i="15"/>
  <c r="I14" i="15"/>
  <c r="I13" i="15"/>
  <c r="J13" i="15" s="1"/>
  <c r="I12" i="15"/>
  <c r="I11" i="15"/>
  <c r="I10" i="15"/>
  <c r="I9" i="15"/>
  <c r="J9" i="15" s="1"/>
  <c r="I8" i="15"/>
  <c r="I6" i="15"/>
  <c r="J12" i="15"/>
  <c r="I5" i="15"/>
  <c r="L6" i="15"/>
  <c r="M6" i="15"/>
  <c r="L7" i="15"/>
  <c r="M7" i="15"/>
  <c r="M8" i="15" s="1"/>
  <c r="M9" i="15" s="1"/>
  <c r="M10" i="15" s="1"/>
  <c r="M11" i="15" s="1"/>
  <c r="M12" i="15" s="1"/>
  <c r="M13" i="15" s="1"/>
  <c r="M14" i="15" s="1"/>
  <c r="L8" i="15"/>
  <c r="B33" i="6"/>
  <c r="D15" i="15"/>
  <c r="E15" i="15" s="1"/>
  <c r="D10" i="28"/>
  <c r="C41" i="14"/>
  <c r="D39" i="14"/>
  <c r="E39" i="14"/>
  <c r="F39" i="14"/>
  <c r="G39" i="14"/>
  <c r="H39" i="14"/>
  <c r="I39" i="14"/>
  <c r="J39" i="14"/>
  <c r="K39" i="14"/>
  <c r="L39" i="14"/>
  <c r="D40" i="14"/>
  <c r="E40" i="14"/>
  <c r="F40" i="14"/>
  <c r="G40" i="14"/>
  <c r="H40" i="14"/>
  <c r="I40" i="14"/>
  <c r="J40" i="14"/>
  <c r="K40" i="14"/>
  <c r="L40" i="14"/>
  <c r="D41" i="14"/>
  <c r="E41" i="14"/>
  <c r="F41" i="14"/>
  <c r="G41" i="14"/>
  <c r="H41" i="14"/>
  <c r="I41" i="14"/>
  <c r="J41" i="14"/>
  <c r="K41" i="14"/>
  <c r="L41" i="14"/>
  <c r="C40" i="14"/>
  <c r="C39" i="14"/>
  <c r="C106" i="12"/>
  <c r="D94" i="12"/>
  <c r="E94" i="12"/>
  <c r="F94" i="12"/>
  <c r="G94" i="12"/>
  <c r="H94" i="12"/>
  <c r="I94" i="12"/>
  <c r="J94" i="12"/>
  <c r="K94" i="12"/>
  <c r="L94" i="12"/>
  <c r="C83" i="12"/>
  <c r="C94" i="12" s="1"/>
  <c r="D69" i="12"/>
  <c r="D80" i="12"/>
  <c r="I80" i="12"/>
  <c r="L80" i="12"/>
  <c r="H80" i="12"/>
  <c r="F80" i="12"/>
  <c r="E80" i="12"/>
  <c r="D59" i="12"/>
  <c r="C69" i="12"/>
  <c r="C80" i="12"/>
  <c r="G15" i="15"/>
  <c r="H28" i="14"/>
  <c r="K34" i="14"/>
  <c r="N34" i="14"/>
  <c r="C104" i="12"/>
  <c r="D104" i="12"/>
  <c r="E104" i="12"/>
  <c r="F104" i="12"/>
  <c r="G104" i="12"/>
  <c r="H104" i="12"/>
  <c r="I104" i="12"/>
  <c r="J104" i="12"/>
  <c r="K104" i="12"/>
  <c r="L104" i="12"/>
  <c r="G80" i="12"/>
  <c r="J80" i="12"/>
  <c r="K80" i="12"/>
  <c r="C28" i="32"/>
  <c r="E23" i="12"/>
  <c r="N28" i="32"/>
  <c r="M28" i="32"/>
  <c r="L28" i="32"/>
  <c r="K28" i="32"/>
  <c r="J28" i="32"/>
  <c r="I28" i="32"/>
  <c r="H28" i="32"/>
  <c r="G28" i="32"/>
  <c r="F28" i="32"/>
  <c r="E28" i="32"/>
  <c r="D28" i="32"/>
  <c r="D37" i="33"/>
  <c r="D34" i="33"/>
  <c r="H11" i="33"/>
  <c r="I11" i="33" s="1"/>
  <c r="J30" i="31"/>
  <c r="I30" i="31"/>
  <c r="H30" i="31"/>
  <c r="G30" i="31"/>
  <c r="F30" i="31"/>
  <c r="B29" i="31"/>
  <c r="J28" i="31"/>
  <c r="I28" i="31"/>
  <c r="H28" i="31"/>
  <c r="G28" i="31"/>
  <c r="F28" i="31"/>
  <c r="B28" i="31"/>
  <c r="J27" i="31"/>
  <c r="I27" i="31"/>
  <c r="H27" i="31"/>
  <c r="G27" i="31"/>
  <c r="F27" i="31"/>
  <c r="B27" i="31"/>
  <c r="J26" i="31"/>
  <c r="I26" i="31"/>
  <c r="H26" i="31"/>
  <c r="G26" i="31"/>
  <c r="F26" i="31"/>
  <c r="B26" i="31"/>
  <c r="J25" i="31"/>
  <c r="I25" i="31"/>
  <c r="H25" i="31"/>
  <c r="G25" i="31"/>
  <c r="F25" i="31"/>
  <c r="B25" i="31"/>
  <c r="J24" i="31"/>
  <c r="I24" i="31"/>
  <c r="H24" i="31"/>
  <c r="G24" i="31"/>
  <c r="F24" i="31"/>
  <c r="B24" i="31"/>
  <c r="J23" i="31"/>
  <c r="I23" i="31"/>
  <c r="H23" i="31"/>
  <c r="G23" i="31"/>
  <c r="F23" i="31"/>
  <c r="B23" i="31"/>
  <c r="J22" i="31"/>
  <c r="I22" i="31"/>
  <c r="H22" i="31"/>
  <c r="G22" i="31"/>
  <c r="F22" i="31"/>
  <c r="B22" i="31"/>
  <c r="J21" i="31"/>
  <c r="I21" i="31"/>
  <c r="H21" i="31"/>
  <c r="G21" i="31"/>
  <c r="F21" i="31"/>
  <c r="B21" i="31"/>
  <c r="J14" i="31"/>
  <c r="I14" i="31"/>
  <c r="H14" i="31"/>
  <c r="G14" i="31"/>
  <c r="F14" i="31"/>
  <c r="J13" i="31"/>
  <c r="I13" i="31"/>
  <c r="H13" i="31"/>
  <c r="G13" i="31"/>
  <c r="F13" i="31"/>
  <c r="J12" i="31"/>
  <c r="I12" i="31"/>
  <c r="H12" i="31"/>
  <c r="G12" i="31"/>
  <c r="F12" i="31"/>
  <c r="J8" i="31"/>
  <c r="I8" i="31"/>
  <c r="H8" i="31"/>
  <c r="G8" i="31"/>
  <c r="F8" i="31"/>
  <c r="J7" i="31"/>
  <c r="I7" i="31"/>
  <c r="H7" i="31"/>
  <c r="G7" i="31"/>
  <c r="F7" i="31"/>
  <c r="J6" i="31"/>
  <c r="I6" i="31"/>
  <c r="H6" i="31"/>
  <c r="G6" i="31"/>
  <c r="F6" i="31"/>
  <c r="J5" i="31"/>
  <c r="I5" i="31"/>
  <c r="H5" i="31"/>
  <c r="G5" i="31"/>
  <c r="F5" i="31"/>
  <c r="J2" i="31"/>
  <c r="I2" i="31"/>
  <c r="H2" i="31"/>
  <c r="G2" i="31"/>
  <c r="F2" i="31"/>
  <c r="G6" i="30"/>
  <c r="G8" i="30"/>
  <c r="G68" i="28"/>
  <c r="D68" i="28"/>
  <c r="G67" i="28"/>
  <c r="D67" i="28"/>
  <c r="G66" i="28"/>
  <c r="D66" i="28"/>
  <c r="G65" i="28"/>
  <c r="D65" i="28"/>
  <c r="G64" i="28"/>
  <c r="D64" i="28"/>
  <c r="G63" i="28"/>
  <c r="D63" i="28"/>
  <c r="G62" i="28"/>
  <c r="D62" i="28"/>
  <c r="G61" i="28"/>
  <c r="D61" i="28"/>
  <c r="G60" i="28"/>
  <c r="D60" i="28"/>
  <c r="G59" i="28"/>
  <c r="D59" i="28"/>
  <c r="G58" i="28"/>
  <c r="D58" i="28"/>
  <c r="G57" i="28"/>
  <c r="D57" i="28"/>
  <c r="G56" i="28"/>
  <c r="D56" i="28"/>
  <c r="G55" i="28"/>
  <c r="D55" i="28"/>
  <c r="G54" i="28"/>
  <c r="D54" i="28"/>
  <c r="G53" i="28"/>
  <c r="D53" i="28"/>
  <c r="G52" i="28"/>
  <c r="D52" i="28"/>
  <c r="G51" i="28"/>
  <c r="D51" i="28"/>
  <c r="G50" i="28"/>
  <c r="D50" i="28"/>
  <c r="G49" i="28"/>
  <c r="D49" i="28"/>
  <c r="G48" i="28"/>
  <c r="D48" i="28"/>
  <c r="G47" i="28"/>
  <c r="D47" i="28"/>
  <c r="G46" i="28"/>
  <c r="D46" i="28"/>
  <c r="G45" i="28"/>
  <c r="D45" i="28"/>
  <c r="G44" i="28"/>
  <c r="D44" i="28"/>
  <c r="G43" i="28"/>
  <c r="D43" i="28"/>
  <c r="G42" i="28"/>
  <c r="D42" i="28"/>
  <c r="G41" i="28"/>
  <c r="D41" i="28"/>
  <c r="G40" i="28"/>
  <c r="D40" i="28"/>
  <c r="G39" i="28"/>
  <c r="D39" i="28"/>
  <c r="G38" i="28"/>
  <c r="D38" i="28"/>
  <c r="G37" i="28"/>
  <c r="D37" i="28"/>
  <c r="G36" i="28"/>
  <c r="D36" i="28"/>
  <c r="G35" i="28"/>
  <c r="D35" i="28"/>
  <c r="G34" i="28"/>
  <c r="D34" i="28"/>
  <c r="G33" i="28"/>
  <c r="D33" i="28"/>
  <c r="G32" i="28"/>
  <c r="D32" i="28"/>
  <c r="G31" i="28"/>
  <c r="D31" i="28"/>
  <c r="G30" i="28"/>
  <c r="D30" i="28"/>
  <c r="G29" i="28"/>
  <c r="D29" i="28"/>
  <c r="G28" i="28"/>
  <c r="D28" i="28"/>
  <c r="G27" i="28"/>
  <c r="D27" i="28"/>
  <c r="G26" i="28"/>
  <c r="D26" i="28"/>
  <c r="G25" i="28"/>
  <c r="D25" i="28"/>
  <c r="G24" i="28"/>
  <c r="D24" i="28"/>
  <c r="G23" i="28"/>
  <c r="D23" i="28"/>
  <c r="G22" i="28"/>
  <c r="D22" i="28"/>
  <c r="G21" i="28"/>
  <c r="D21" i="28"/>
  <c r="G20" i="28"/>
  <c r="D20" i="28"/>
  <c r="G19" i="28"/>
  <c r="D19" i="28"/>
  <c r="G18" i="28"/>
  <c r="D18" i="28"/>
  <c r="G17" i="28"/>
  <c r="D17" i="28"/>
  <c r="G16" i="28"/>
  <c r="D16" i="28"/>
  <c r="G15" i="28"/>
  <c r="D15" i="28"/>
  <c r="G14" i="28"/>
  <c r="D14" i="28"/>
  <c r="G13" i="28"/>
  <c r="D13" i="28"/>
  <c r="G12" i="28"/>
  <c r="D12" i="28"/>
  <c r="G11" i="28"/>
  <c r="D11" i="28"/>
  <c r="G10" i="28"/>
  <c r="J7" i="28"/>
  <c r="C32" i="26"/>
  <c r="D32" i="26" s="1"/>
  <c r="C31" i="26"/>
  <c r="D31" i="26" s="1"/>
  <c r="C30" i="26"/>
  <c r="D30" i="26" s="1"/>
  <c r="D34" i="26" s="1"/>
  <c r="E23" i="26"/>
  <c r="K39" i="26" s="1"/>
  <c r="I16" i="26"/>
  <c r="G15" i="26"/>
  <c r="J13" i="26"/>
  <c r="H13" i="26"/>
  <c r="G13" i="26"/>
  <c r="H12" i="26"/>
  <c r="G12" i="26"/>
  <c r="J12" i="26" s="1"/>
  <c r="H11" i="26"/>
  <c r="G11" i="26"/>
  <c r="J11" i="26" s="1"/>
  <c r="H10" i="26"/>
  <c r="G10" i="26"/>
  <c r="G16" i="26" s="1"/>
  <c r="J9" i="26"/>
  <c r="H9" i="26"/>
  <c r="H16" i="26" s="1"/>
  <c r="G9" i="26"/>
  <c r="E6" i="15"/>
  <c r="D16" i="15"/>
  <c r="D17" i="15"/>
  <c r="E17" i="15" s="1"/>
  <c r="D18" i="15"/>
  <c r="E18" i="15" s="1"/>
  <c r="D19" i="15"/>
  <c r="F15" i="31" l="1"/>
  <c r="I45" i="31"/>
  <c r="I51" i="31" s="1"/>
  <c r="J45" i="31"/>
  <c r="J51" i="31" s="1"/>
  <c r="J53" i="31" s="1"/>
  <c r="G15" i="31"/>
  <c r="I29" i="31"/>
  <c r="I31" i="31" s="1"/>
  <c r="I33" i="31" s="1"/>
  <c r="H15" i="31"/>
  <c r="J29" i="31"/>
  <c r="J31" i="31" s="1"/>
  <c r="F8" i="33"/>
  <c r="I15" i="31"/>
  <c r="J15" i="31"/>
  <c r="N14" i="15"/>
  <c r="N13" i="15"/>
  <c r="N12" i="15"/>
  <c r="N11" i="15"/>
  <c r="N10" i="15"/>
  <c r="N9" i="15"/>
  <c r="N8" i="15"/>
  <c r="O8" i="15" s="1"/>
  <c r="N7" i="15"/>
  <c r="O7" i="15" s="1"/>
  <c r="N6" i="15"/>
  <c r="O6" i="15" s="1"/>
  <c r="J11" i="15"/>
  <c r="J14" i="15"/>
  <c r="J8" i="15"/>
  <c r="J10" i="15"/>
  <c r="J7" i="15"/>
  <c r="J6" i="15"/>
  <c r="L9" i="15"/>
  <c r="E19" i="15"/>
  <c r="E16" i="15"/>
  <c r="J15" i="15"/>
  <c r="I19" i="15"/>
  <c r="I16" i="15"/>
  <c r="I18" i="15"/>
  <c r="I17" i="15"/>
  <c r="D106" i="12"/>
  <c r="K106" i="12"/>
  <c r="J106" i="12"/>
  <c r="G106" i="12"/>
  <c r="E106" i="12"/>
  <c r="F106" i="12"/>
  <c r="H106" i="12"/>
  <c r="L106" i="12"/>
  <c r="I106" i="12"/>
  <c r="J9" i="31"/>
  <c r="H45" i="31"/>
  <c r="H51" i="31" s="1"/>
  <c r="G45" i="31"/>
  <c r="G51" i="31" s="1"/>
  <c r="F9" i="31"/>
  <c r="G9" i="31"/>
  <c r="G29" i="31"/>
  <c r="G31" i="31" s="1"/>
  <c r="G33" i="31" s="1"/>
  <c r="H9" i="31"/>
  <c r="I9" i="31"/>
  <c r="H29" i="31"/>
  <c r="H31" i="31" s="1"/>
  <c r="H33" i="31" s="1"/>
  <c r="J11" i="33"/>
  <c r="H15" i="26"/>
  <c r="J10" i="26"/>
  <c r="J16" i="26" s="1"/>
  <c r="K29" i="26" s="1"/>
  <c r="E7" i="15"/>
  <c r="E8" i="15"/>
  <c r="E9" i="15"/>
  <c r="E10" i="15"/>
  <c r="E11" i="15"/>
  <c r="E12" i="15"/>
  <c r="E13" i="15"/>
  <c r="E14" i="15"/>
  <c r="M16" i="15"/>
  <c r="M17" i="15" s="1"/>
  <c r="M18" i="15" s="1"/>
  <c r="M19" i="15" s="1"/>
  <c r="H16" i="15"/>
  <c r="H17" i="15" s="1"/>
  <c r="H18" i="15" s="1"/>
  <c r="H19" i="15" s="1"/>
  <c r="H7" i="15"/>
  <c r="H8" i="15" s="1"/>
  <c r="H9" i="15" s="1"/>
  <c r="H10" i="15" s="1"/>
  <c r="H11" i="15" s="1"/>
  <c r="H12" i="15" s="1"/>
  <c r="H13" i="15" s="1"/>
  <c r="H14" i="15" s="1"/>
  <c r="H6" i="15"/>
  <c r="G6" i="15"/>
  <c r="G7" i="15" s="1"/>
  <c r="G8" i="15" s="1"/>
  <c r="G9" i="15" s="1"/>
  <c r="G10" i="15" s="1"/>
  <c r="G11" i="15" s="1"/>
  <c r="G12" i="15" s="1"/>
  <c r="G13" i="15" s="1"/>
  <c r="G14" i="15" s="1"/>
  <c r="G16" i="15" s="1"/>
  <c r="G17" i="15" s="1"/>
  <c r="G18" i="15" s="1"/>
  <c r="G19" i="15" s="1"/>
  <c r="C17" i="15"/>
  <c r="C18" i="15"/>
  <c r="C19" i="15" s="1"/>
  <c r="C16" i="15"/>
  <c r="B19" i="15"/>
  <c r="B15" i="15"/>
  <c r="B16" i="15"/>
  <c r="B17" i="15"/>
  <c r="B18" i="15"/>
  <c r="C6" i="15"/>
  <c r="C7" i="15" s="1"/>
  <c r="C8" i="15" s="1"/>
  <c r="C9" i="15" s="1"/>
  <c r="C10" i="15" s="1"/>
  <c r="C11" i="15" s="1"/>
  <c r="C12" i="15" s="1"/>
  <c r="C13" i="15" s="1"/>
  <c r="C14" i="15" s="1"/>
  <c r="B6" i="15"/>
  <c r="B7" i="15" s="1"/>
  <c r="B8" i="15" s="1"/>
  <c r="B9" i="15" s="1"/>
  <c r="B10" i="15" s="1"/>
  <c r="B11" i="15" s="1"/>
  <c r="B12" i="15" s="1"/>
  <c r="B13" i="15" s="1"/>
  <c r="B14" i="15" s="1"/>
  <c r="C5" i="12"/>
  <c r="K33" i="6"/>
  <c r="C33" i="6"/>
  <c r="D33" i="6"/>
  <c r="E33" i="6"/>
  <c r="F33" i="6"/>
  <c r="G33" i="6"/>
  <c r="H33" i="6"/>
  <c r="I33" i="6"/>
  <c r="J33" i="6"/>
  <c r="J17" i="15" l="1"/>
  <c r="O9" i="15"/>
  <c r="L10" i="15"/>
  <c r="J16" i="15"/>
  <c r="J18" i="15"/>
  <c r="J19" i="15"/>
  <c r="K11" i="33"/>
  <c r="J15" i="26"/>
  <c r="E31" i="26"/>
  <c r="D55" i="12"/>
  <c r="D56" i="12" s="1"/>
  <c r="C23" i="12"/>
  <c r="C24" i="12" s="1"/>
  <c r="C18" i="14" s="1"/>
  <c r="L9" i="14"/>
  <c r="K9" i="14"/>
  <c r="G9" i="14"/>
  <c r="C3" i="14"/>
  <c r="D3" i="14"/>
  <c r="E3" i="14"/>
  <c r="F3" i="14"/>
  <c r="G3" i="14"/>
  <c r="H3" i="14"/>
  <c r="I3" i="14"/>
  <c r="J3" i="14"/>
  <c r="K3" i="14"/>
  <c r="L3" i="14"/>
  <c r="G56" i="12"/>
  <c r="G63" i="12" s="1"/>
  <c r="G65" i="12" s="1"/>
  <c r="F56" i="12"/>
  <c r="L55" i="12"/>
  <c r="K55" i="12"/>
  <c r="J55" i="12"/>
  <c r="I55" i="12"/>
  <c r="H55" i="12"/>
  <c r="G55" i="12"/>
  <c r="F55" i="12"/>
  <c r="E55" i="12"/>
  <c r="C55" i="12"/>
  <c r="C56" i="12" s="1"/>
  <c r="P1" i="12"/>
  <c r="I61" i="12"/>
  <c r="L60" i="12"/>
  <c r="K60" i="12"/>
  <c r="J60" i="12"/>
  <c r="J61" i="12" s="1"/>
  <c r="I60" i="12"/>
  <c r="H60" i="12"/>
  <c r="G60" i="12"/>
  <c r="F60" i="12"/>
  <c r="E60" i="12"/>
  <c r="D60" i="12"/>
  <c r="L59" i="12"/>
  <c r="K59" i="12"/>
  <c r="J59" i="12"/>
  <c r="I59" i="12"/>
  <c r="H59" i="12"/>
  <c r="H61" i="12" s="1"/>
  <c r="G59" i="12"/>
  <c r="G61" i="12" s="1"/>
  <c r="F59" i="12"/>
  <c r="E59" i="12"/>
  <c r="L58" i="12"/>
  <c r="K58" i="12"/>
  <c r="K61" i="12" s="1"/>
  <c r="J58" i="12"/>
  <c r="I58" i="12"/>
  <c r="H58" i="12"/>
  <c r="G58" i="12"/>
  <c r="F58" i="12"/>
  <c r="E58" i="12"/>
  <c r="D58" i="12"/>
  <c r="C59" i="12"/>
  <c r="C29" i="14" s="1"/>
  <c r="C36" i="14" s="1"/>
  <c r="C60" i="12"/>
  <c r="C58" i="12"/>
  <c r="I48" i="12"/>
  <c r="L54" i="12"/>
  <c r="K54" i="12"/>
  <c r="J54" i="12"/>
  <c r="I54" i="12"/>
  <c r="H54" i="12"/>
  <c r="G54" i="12"/>
  <c r="F54" i="12"/>
  <c r="E54" i="12"/>
  <c r="D54" i="12"/>
  <c r="L53" i="12"/>
  <c r="K53" i="12"/>
  <c r="K56" i="12" s="1"/>
  <c r="J53" i="12"/>
  <c r="I53" i="12"/>
  <c r="H53" i="12"/>
  <c r="G53" i="12"/>
  <c r="F53" i="12"/>
  <c r="E53" i="12"/>
  <c r="D53" i="12"/>
  <c r="D52" i="12"/>
  <c r="E52" i="12"/>
  <c r="E56" i="12" s="1"/>
  <c r="F52" i="12"/>
  <c r="G52" i="12"/>
  <c r="H52" i="12"/>
  <c r="H56" i="12" s="1"/>
  <c r="I52" i="12"/>
  <c r="J52" i="12"/>
  <c r="J56" i="12" s="1"/>
  <c r="J63" i="12" s="1"/>
  <c r="J65" i="12" s="1"/>
  <c r="K52" i="12"/>
  <c r="L52" i="12"/>
  <c r="C54" i="12"/>
  <c r="C53" i="12"/>
  <c r="C52" i="12"/>
  <c r="C30" i="14" s="1"/>
  <c r="L50" i="12"/>
  <c r="K50" i="12"/>
  <c r="J50" i="12"/>
  <c r="I50" i="12"/>
  <c r="H50" i="12"/>
  <c r="G50" i="12"/>
  <c r="F50" i="12"/>
  <c r="E50" i="12"/>
  <c r="D50" i="12"/>
  <c r="C50" i="12"/>
  <c r="D49" i="12"/>
  <c r="E49" i="12"/>
  <c r="F49" i="12"/>
  <c r="G49" i="12"/>
  <c r="H49" i="12"/>
  <c r="I49" i="12"/>
  <c r="J49" i="12"/>
  <c r="K49" i="12"/>
  <c r="L49" i="12"/>
  <c r="D48" i="12"/>
  <c r="E48" i="12"/>
  <c r="F48" i="12"/>
  <c r="G48" i="12"/>
  <c r="H48" i="12"/>
  <c r="J48" i="12"/>
  <c r="K48" i="12"/>
  <c r="L48" i="12"/>
  <c r="D47" i="12"/>
  <c r="E47" i="12"/>
  <c r="F47" i="12"/>
  <c r="G47" i="12"/>
  <c r="H47" i="12"/>
  <c r="I47" i="12"/>
  <c r="J47" i="12"/>
  <c r="K47" i="12"/>
  <c r="L47" i="12"/>
  <c r="C47" i="12"/>
  <c r="C48" i="12"/>
  <c r="C49" i="12"/>
  <c r="C28" i="14" s="1"/>
  <c r="L46" i="12"/>
  <c r="K46" i="12"/>
  <c r="J46" i="12"/>
  <c r="I46" i="12"/>
  <c r="H46" i="12"/>
  <c r="G46" i="12"/>
  <c r="F46" i="12"/>
  <c r="E46" i="12"/>
  <c r="D46" i="12"/>
  <c r="C46" i="12"/>
  <c r="C31" i="14" s="1"/>
  <c r="D35" i="12"/>
  <c r="D40" i="12" s="1"/>
  <c r="D9" i="14" s="1"/>
  <c r="E35" i="12"/>
  <c r="E40" i="12" s="1"/>
  <c r="E9" i="14" s="1"/>
  <c r="F35" i="12"/>
  <c r="F40" i="12" s="1"/>
  <c r="F9" i="14" s="1"/>
  <c r="G35" i="12"/>
  <c r="G40" i="12" s="1"/>
  <c r="H35" i="12"/>
  <c r="H40" i="12" s="1"/>
  <c r="H9" i="14" s="1"/>
  <c r="I35" i="12"/>
  <c r="I40" i="12" s="1"/>
  <c r="J9" i="14" s="1"/>
  <c r="J35" i="12"/>
  <c r="J40" i="12" s="1"/>
  <c r="K35" i="12"/>
  <c r="K40" i="12" s="1"/>
  <c r="L35" i="12"/>
  <c r="L40" i="12" s="1"/>
  <c r="C35" i="12"/>
  <c r="C40" i="12" s="1"/>
  <c r="H29" i="12"/>
  <c r="L29" i="12"/>
  <c r="K29" i="12"/>
  <c r="J29" i="12"/>
  <c r="I29" i="12"/>
  <c r="G29" i="12"/>
  <c r="F29" i="12"/>
  <c r="E29" i="12"/>
  <c r="D29" i="12"/>
  <c r="C29" i="12"/>
  <c r="D23" i="12"/>
  <c r="F23" i="12"/>
  <c r="G23" i="12"/>
  <c r="H23" i="12"/>
  <c r="I23" i="12"/>
  <c r="J23" i="12"/>
  <c r="K23" i="12"/>
  <c r="L23" i="12"/>
  <c r="D20" i="12"/>
  <c r="E20" i="12"/>
  <c r="F20" i="12"/>
  <c r="G20" i="12"/>
  <c r="H20" i="12"/>
  <c r="I20" i="12"/>
  <c r="J20" i="12"/>
  <c r="K20" i="12"/>
  <c r="L20" i="12"/>
  <c r="C20" i="12"/>
  <c r="D14" i="12"/>
  <c r="E14" i="12"/>
  <c r="F14" i="12"/>
  <c r="G14" i="12"/>
  <c r="H14" i="12"/>
  <c r="I14" i="12"/>
  <c r="J14" i="12"/>
  <c r="K14" i="12"/>
  <c r="L14" i="12"/>
  <c r="C14" i="12"/>
  <c r="C15" i="12" s="1"/>
  <c r="C17" i="14" s="1"/>
  <c r="F8" i="12"/>
  <c r="E8" i="12"/>
  <c r="D8" i="12"/>
  <c r="G8" i="12"/>
  <c r="H8" i="12"/>
  <c r="I8" i="12"/>
  <c r="J8" i="12"/>
  <c r="K8" i="12"/>
  <c r="L8" i="12"/>
  <c r="C8" i="12"/>
  <c r="D5" i="12"/>
  <c r="L11" i="15" l="1"/>
  <c r="O10" i="15"/>
  <c r="H63" i="12"/>
  <c r="H65" i="12" s="1"/>
  <c r="I56" i="12"/>
  <c r="I63" i="12" s="1"/>
  <c r="I65" i="12" s="1"/>
  <c r="K63" i="12"/>
  <c r="K65" i="12" s="1"/>
  <c r="C27" i="14"/>
  <c r="C61" i="12"/>
  <c r="C63" i="12" s="1"/>
  <c r="I9" i="14"/>
  <c r="O9" i="14" s="1"/>
  <c r="F61" i="12"/>
  <c r="F63" i="12" s="1"/>
  <c r="F65" i="12" s="1"/>
  <c r="D61" i="12"/>
  <c r="D63" i="12" s="1"/>
  <c r="E61" i="12"/>
  <c r="E63" i="12" s="1"/>
  <c r="E65" i="12" s="1"/>
  <c r="C35" i="14"/>
  <c r="L56" i="12"/>
  <c r="L63" i="12" s="1"/>
  <c r="L65" i="12" s="1"/>
  <c r="D30" i="14"/>
  <c r="D29" i="14"/>
  <c r="D28" i="14"/>
  <c r="D35" i="14" s="1"/>
  <c r="D31" i="14"/>
  <c r="D27" i="14"/>
  <c r="D34" i="14" s="1"/>
  <c r="L61" i="12"/>
  <c r="E34" i="26"/>
  <c r="K30" i="26" s="1"/>
  <c r="K32" i="26" s="1"/>
  <c r="D21" i="12"/>
  <c r="D9" i="12"/>
  <c r="D11" i="12"/>
  <c r="D24" i="12"/>
  <c r="D18" i="14" s="1"/>
  <c r="D15" i="12"/>
  <c r="D17" i="14" s="1"/>
  <c r="L5" i="12"/>
  <c r="K5" i="12"/>
  <c r="J5" i="12"/>
  <c r="I5" i="12"/>
  <c r="H5" i="12"/>
  <c r="G5" i="12"/>
  <c r="F5" i="12"/>
  <c r="E5" i="12"/>
  <c r="K3" i="12"/>
  <c r="L3" i="12"/>
  <c r="D3" i="12"/>
  <c r="E3" i="12"/>
  <c r="F3" i="12"/>
  <c r="G3" i="12"/>
  <c r="H3" i="12"/>
  <c r="I3" i="12"/>
  <c r="J3" i="12"/>
  <c r="C3" i="12"/>
  <c r="B2" i="12"/>
  <c r="B6" i="6"/>
  <c r="E1" i="6"/>
  <c r="K23" i="26" l="1"/>
  <c r="K24" i="26" s="1"/>
  <c r="K36" i="26" s="1"/>
  <c r="K42" i="26" s="1"/>
  <c r="F18" i="33" s="1"/>
  <c r="D23" i="33" s="1"/>
  <c r="O11" i="15"/>
  <c r="L12" i="15"/>
  <c r="C65" i="12"/>
  <c r="D65" i="12"/>
  <c r="K24" i="12"/>
  <c r="K18" i="14" s="1"/>
  <c r="K28" i="14"/>
  <c r="K35" i="14" s="1"/>
  <c r="K27" i="14"/>
  <c r="K31" i="14"/>
  <c r="K30" i="14"/>
  <c r="K29" i="14"/>
  <c r="K36" i="14" s="1"/>
  <c r="C34" i="14"/>
  <c r="E21" i="12"/>
  <c r="E29" i="14"/>
  <c r="E36" i="14" s="1"/>
  <c r="E28" i="14"/>
  <c r="E35" i="14" s="1"/>
  <c r="E31" i="14"/>
  <c r="E30" i="14"/>
  <c r="E27" i="14"/>
  <c r="E34" i="14" s="1"/>
  <c r="E37" i="14" s="1"/>
  <c r="F30" i="14"/>
  <c r="F28" i="14"/>
  <c r="F35" i="14" s="1"/>
  <c r="F31" i="14"/>
  <c r="F29" i="14"/>
  <c r="F36" i="14" s="1"/>
  <c r="F27" i="14"/>
  <c r="F34" i="14" s="1"/>
  <c r="F37" i="14" s="1"/>
  <c r="I11" i="12"/>
  <c r="I17" i="12" s="1"/>
  <c r="I27" i="14"/>
  <c r="I34" i="14" s="1"/>
  <c r="I31" i="14"/>
  <c r="I29" i="14"/>
  <c r="I36" i="14" s="1"/>
  <c r="I28" i="14"/>
  <c r="I35" i="14" s="1"/>
  <c r="I30" i="14"/>
  <c r="L28" i="14"/>
  <c r="L35" i="14" s="1"/>
  <c r="L27" i="14"/>
  <c r="L34" i="14" s="1"/>
  <c r="L31" i="14"/>
  <c r="L30" i="14"/>
  <c r="L29" i="14"/>
  <c r="L36" i="14" s="1"/>
  <c r="D36" i="14"/>
  <c r="D37" i="14" s="1"/>
  <c r="N9" i="14"/>
  <c r="G27" i="14"/>
  <c r="G34" i="14" s="1"/>
  <c r="G31" i="14"/>
  <c r="G29" i="14"/>
  <c r="G36" i="14" s="1"/>
  <c r="G28" i="14"/>
  <c r="G35" i="14" s="1"/>
  <c r="G30" i="14"/>
  <c r="H30" i="14"/>
  <c r="H29" i="14"/>
  <c r="H36" i="14" s="1"/>
  <c r="H35" i="14"/>
  <c r="H27" i="14"/>
  <c r="H34" i="14" s="1"/>
  <c r="H37" i="14" s="1"/>
  <c r="H31" i="14"/>
  <c r="J15" i="12"/>
  <c r="J17" i="14" s="1"/>
  <c r="J28" i="14"/>
  <c r="J35" i="14" s="1"/>
  <c r="J27" i="14"/>
  <c r="J34" i="14" s="1"/>
  <c r="J31" i="14"/>
  <c r="J30" i="14"/>
  <c r="J29" i="14"/>
  <c r="J36" i="14" s="1"/>
  <c r="I6" i="12"/>
  <c r="I5" i="14" s="1"/>
  <c r="J6" i="12"/>
  <c r="J5" i="14" s="1"/>
  <c r="K6" i="12"/>
  <c r="K5" i="14" s="1"/>
  <c r="H6" i="12"/>
  <c r="H5" i="14" s="1"/>
  <c r="K15" i="12"/>
  <c r="K17" i="14" s="1"/>
  <c r="F6" i="12"/>
  <c r="F5" i="14" s="1"/>
  <c r="G6" i="12"/>
  <c r="G5" i="14" s="1"/>
  <c r="G9" i="12"/>
  <c r="H9" i="12"/>
  <c r="I9" i="12"/>
  <c r="J24" i="12"/>
  <c r="J18" i="14" s="1"/>
  <c r="I21" i="12"/>
  <c r="E6" i="12"/>
  <c r="E5" i="14" s="1"/>
  <c r="L11" i="12"/>
  <c r="L9" i="12"/>
  <c r="L21" i="12"/>
  <c r="C11" i="12"/>
  <c r="C9" i="12"/>
  <c r="L24" i="12"/>
  <c r="L18" i="14" s="1"/>
  <c r="E11" i="12"/>
  <c r="E15" i="12"/>
  <c r="E17" i="14" s="1"/>
  <c r="E24" i="12"/>
  <c r="E18" i="14" s="1"/>
  <c r="D12" i="12"/>
  <c r="D11" i="14" s="1"/>
  <c r="D17" i="12"/>
  <c r="L15" i="12"/>
  <c r="L17" i="14" s="1"/>
  <c r="F11" i="12"/>
  <c r="F21" i="12"/>
  <c r="F15" i="12"/>
  <c r="F17" i="14" s="1"/>
  <c r="F24" i="12"/>
  <c r="F18" i="14" s="1"/>
  <c r="C21" i="12"/>
  <c r="G11" i="12"/>
  <c r="G21" i="12"/>
  <c r="G24" i="12"/>
  <c r="G18" i="14" s="1"/>
  <c r="G15" i="12"/>
  <c r="G17" i="14" s="1"/>
  <c r="H11" i="12"/>
  <c r="H17" i="12" s="1"/>
  <c r="H21" i="12"/>
  <c r="H15" i="12"/>
  <c r="H17" i="14" s="1"/>
  <c r="F9" i="12"/>
  <c r="L6" i="12"/>
  <c r="L5" i="14" s="1"/>
  <c r="I24" i="12"/>
  <c r="I18" i="14" s="1"/>
  <c r="J9" i="12"/>
  <c r="J11" i="12"/>
  <c r="J21" i="12"/>
  <c r="E9" i="12"/>
  <c r="I15" i="12"/>
  <c r="I17" i="14" s="1"/>
  <c r="K9" i="12"/>
  <c r="K11" i="12"/>
  <c r="K21" i="12"/>
  <c r="D6" i="12"/>
  <c r="D5" i="14" s="1"/>
  <c r="H24" i="12"/>
  <c r="H18" i="14" s="1"/>
  <c r="H12" i="33" l="1"/>
  <c r="G12" i="33"/>
  <c r="J12" i="33"/>
  <c r="I12" i="33"/>
  <c r="K12" i="33"/>
  <c r="L13" i="15"/>
  <c r="O12" i="15"/>
  <c r="O30" i="14"/>
  <c r="O35" i="14"/>
  <c r="G37" i="14"/>
  <c r="N35" i="14"/>
  <c r="N30" i="14"/>
  <c r="I25" i="14"/>
  <c r="I21" i="14"/>
  <c r="I6" i="14"/>
  <c r="I13" i="14"/>
  <c r="I19" i="14" s="1"/>
  <c r="H25" i="14"/>
  <c r="H21" i="14"/>
  <c r="H6" i="14"/>
  <c r="H13" i="14"/>
  <c r="H19" i="14" s="1"/>
  <c r="N31" i="14"/>
  <c r="O31" i="14"/>
  <c r="N27" i="14"/>
  <c r="O27" i="14"/>
  <c r="C37" i="14"/>
  <c r="O34" i="14"/>
  <c r="N28" i="14"/>
  <c r="D25" i="14"/>
  <c r="D13" i="14"/>
  <c r="D19" i="14" s="1"/>
  <c r="D21" i="14"/>
  <c r="O29" i="14"/>
  <c r="N17" i="14"/>
  <c r="O17" i="14"/>
  <c r="N29" i="14"/>
  <c r="I37" i="14"/>
  <c r="O36" i="14"/>
  <c r="N36" i="14"/>
  <c r="K37" i="14"/>
  <c r="O28" i="14"/>
  <c r="I12" i="12"/>
  <c r="I11" i="14" s="1"/>
  <c r="L37" i="14"/>
  <c r="J37" i="14"/>
  <c r="O18" i="14"/>
  <c r="N18" i="14"/>
  <c r="N41" i="14"/>
  <c r="O40" i="14"/>
  <c r="O39" i="14"/>
  <c r="N39" i="14"/>
  <c r="O41" i="14"/>
  <c r="N40" i="14"/>
  <c r="N5" i="14"/>
  <c r="O5" i="14"/>
  <c r="H12" i="12"/>
  <c r="H11" i="14" s="1"/>
  <c r="D26" i="12"/>
  <c r="D18" i="12"/>
  <c r="D12" i="14" s="1"/>
  <c r="J17" i="12"/>
  <c r="J12" i="12"/>
  <c r="J11" i="14" s="1"/>
  <c r="E12" i="12"/>
  <c r="E11" i="14" s="1"/>
  <c r="E17" i="12"/>
  <c r="G12" i="12"/>
  <c r="G11" i="14" s="1"/>
  <c r="G17" i="12"/>
  <c r="C17" i="12"/>
  <c r="C12" i="12"/>
  <c r="C11" i="14" s="1"/>
  <c r="I26" i="12"/>
  <c r="I18" i="12"/>
  <c r="I12" i="14" s="1"/>
  <c r="K17" i="12"/>
  <c r="K12" i="12"/>
  <c r="K11" i="14" s="1"/>
  <c r="F12" i="12"/>
  <c r="F11" i="14" s="1"/>
  <c r="F17" i="12"/>
  <c r="L17" i="12"/>
  <c r="L12" i="12"/>
  <c r="L11" i="14" s="1"/>
  <c r="O13" i="15" l="1"/>
  <c r="L14" i="15"/>
  <c r="E25" i="14"/>
  <c r="E21" i="14"/>
  <c r="E13" i="14"/>
  <c r="E19" i="14" s="1"/>
  <c r="E6" i="14"/>
  <c r="F13" i="14"/>
  <c r="F19" i="14" s="1"/>
  <c r="F25" i="14"/>
  <c r="F21" i="14"/>
  <c r="F6" i="14"/>
  <c r="J13" i="14"/>
  <c r="J19" i="14" s="1"/>
  <c r="J25" i="14"/>
  <c r="J6" i="14"/>
  <c r="J21" i="14"/>
  <c r="G34" i="31"/>
  <c r="G25" i="14"/>
  <c r="G21" i="14"/>
  <c r="G6" i="14"/>
  <c r="G13" i="14"/>
  <c r="G19" i="14" s="1"/>
  <c r="L25" i="14"/>
  <c r="L13" i="14"/>
  <c r="L19" i="14" s="1"/>
  <c r="L6" i="14"/>
  <c r="L21" i="14"/>
  <c r="K25" i="14"/>
  <c r="K13" i="14"/>
  <c r="K19" i="14" s="1"/>
  <c r="K6" i="14"/>
  <c r="K21" i="14"/>
  <c r="O37" i="14"/>
  <c r="N37" i="14"/>
  <c r="C25" i="14"/>
  <c r="D6" i="14"/>
  <c r="C13" i="14"/>
  <c r="C21" i="14"/>
  <c r="O11" i="14"/>
  <c r="N11" i="14"/>
  <c r="C26" i="12"/>
  <c r="D7" i="14" s="1"/>
  <c r="C18" i="12"/>
  <c r="C12" i="14" s="1"/>
  <c r="G18" i="12"/>
  <c r="G12" i="14" s="1"/>
  <c r="G26" i="12"/>
  <c r="E26" i="12"/>
  <c r="E18" i="12"/>
  <c r="E12" i="14" s="1"/>
  <c r="L26" i="12"/>
  <c r="L18" i="12"/>
  <c r="L12" i="14" s="1"/>
  <c r="F18" i="12"/>
  <c r="F12" i="14" s="1"/>
  <c r="F26" i="12"/>
  <c r="J26" i="12"/>
  <c r="J18" i="12"/>
  <c r="J12" i="14" s="1"/>
  <c r="K26" i="12"/>
  <c r="K18" i="12"/>
  <c r="K12" i="14" s="1"/>
  <c r="D32" i="12"/>
  <c r="D23" i="14" s="1"/>
  <c r="D27" i="12"/>
  <c r="D14" i="14" s="1"/>
  <c r="D30" i="12"/>
  <c r="I27" i="12"/>
  <c r="I14" i="14" s="1"/>
  <c r="I30" i="12"/>
  <c r="I32" i="12"/>
  <c r="H26" i="12"/>
  <c r="H18" i="12"/>
  <c r="H12" i="14" s="1"/>
  <c r="O14" i="15" l="1"/>
  <c r="L15" i="15"/>
  <c r="K7" i="14"/>
  <c r="H34" i="31"/>
  <c r="J7" i="14"/>
  <c r="H7" i="14"/>
  <c r="I23" i="14"/>
  <c r="L7" i="14"/>
  <c r="G7" i="14"/>
  <c r="I7" i="14"/>
  <c r="G47" i="31"/>
  <c r="G49" i="31" s="1"/>
  <c r="G53" i="31" s="1"/>
  <c r="G61" i="31"/>
  <c r="E7" i="14"/>
  <c r="F7" i="14"/>
  <c r="N12" i="14"/>
  <c r="O12" i="14"/>
  <c r="N21" i="14"/>
  <c r="O21" i="14"/>
  <c r="C19" i="14"/>
  <c r="N13" i="14"/>
  <c r="O13" i="14"/>
  <c r="N6" i="14"/>
  <c r="O6" i="14"/>
  <c r="O25" i="14"/>
  <c r="N25" i="14"/>
  <c r="J27" i="12"/>
  <c r="J14" i="14" s="1"/>
  <c r="J30" i="12"/>
  <c r="J32" i="12"/>
  <c r="F27" i="12"/>
  <c r="F14" i="14" s="1"/>
  <c r="F32" i="12"/>
  <c r="F23" i="14" s="1"/>
  <c r="F30" i="12"/>
  <c r="H27" i="12"/>
  <c r="H14" i="14" s="1"/>
  <c r="H30" i="12"/>
  <c r="H32" i="12"/>
  <c r="I37" i="12"/>
  <c r="I33" i="12"/>
  <c r="I15" i="14" s="1"/>
  <c r="L32" i="12"/>
  <c r="L30" i="12"/>
  <c r="L27" i="12"/>
  <c r="L14" i="14" s="1"/>
  <c r="E32" i="12"/>
  <c r="E27" i="12"/>
  <c r="E14" i="14" s="1"/>
  <c r="E30" i="12"/>
  <c r="G32" i="12"/>
  <c r="G27" i="12"/>
  <c r="G14" i="14" s="1"/>
  <c r="G30" i="12"/>
  <c r="D33" i="12"/>
  <c r="D15" i="14" s="1"/>
  <c r="D37" i="12"/>
  <c r="K32" i="12"/>
  <c r="K30" i="12"/>
  <c r="K27" i="12"/>
  <c r="K14" i="14" s="1"/>
  <c r="C32" i="12"/>
  <c r="C27" i="12"/>
  <c r="C14" i="14" s="1"/>
  <c r="C30" i="12"/>
  <c r="L16" i="15" l="1"/>
  <c r="N15" i="15"/>
  <c r="O15" i="15" s="1"/>
  <c r="H8" i="14"/>
  <c r="H23" i="14"/>
  <c r="G8" i="14"/>
  <c r="G23" i="14"/>
  <c r="J47" i="31"/>
  <c r="I8" i="14"/>
  <c r="J8" i="14"/>
  <c r="J23" i="14"/>
  <c r="F47" i="31"/>
  <c r="F49" i="31" s="1"/>
  <c r="L8" i="14"/>
  <c r="L23" i="14"/>
  <c r="H47" i="31"/>
  <c r="H49" i="31" s="1"/>
  <c r="H53" i="31" s="1"/>
  <c r="H60" i="31" s="1"/>
  <c r="H61" i="31"/>
  <c r="K8" i="14"/>
  <c r="K23" i="14"/>
  <c r="G60" i="31"/>
  <c r="I47" i="31"/>
  <c r="I49" i="31" s="1"/>
  <c r="I61" i="31"/>
  <c r="N7" i="14"/>
  <c r="O7" i="14"/>
  <c r="E23" i="14"/>
  <c r="F8" i="14"/>
  <c r="E8" i="14"/>
  <c r="O14" i="14"/>
  <c r="N14" i="14"/>
  <c r="O19" i="14"/>
  <c r="N19" i="14"/>
  <c r="D8" i="14"/>
  <c r="C23" i="14"/>
  <c r="D41" i="12"/>
  <c r="D43" i="12" s="1"/>
  <c r="D22" i="14" s="1"/>
  <c r="D24" i="14" s="1"/>
  <c r="I41" i="12"/>
  <c r="I43" i="12" s="1"/>
  <c r="I22" i="14" s="1"/>
  <c r="I24" i="14" s="1"/>
  <c r="L33" i="12"/>
  <c r="L15" i="14" s="1"/>
  <c r="L37" i="12"/>
  <c r="K33" i="12"/>
  <c r="K15" i="14" s="1"/>
  <c r="K37" i="12"/>
  <c r="H37" i="12"/>
  <c r="H33" i="12"/>
  <c r="H15" i="14" s="1"/>
  <c r="G37" i="12"/>
  <c r="G33" i="12"/>
  <c r="G15" i="14" s="1"/>
  <c r="F37" i="12"/>
  <c r="F33" i="12"/>
  <c r="F15" i="14" s="1"/>
  <c r="E33" i="12"/>
  <c r="E15" i="14" s="1"/>
  <c r="E37" i="12"/>
  <c r="J33" i="12"/>
  <c r="J15" i="14" s="1"/>
  <c r="J37" i="12"/>
  <c r="C33" i="12"/>
  <c r="C15" i="14" s="1"/>
  <c r="C37" i="12"/>
  <c r="C41" i="12" s="1"/>
  <c r="C43" i="12" s="1"/>
  <c r="C22" i="14" s="1"/>
  <c r="H63" i="31" l="1"/>
  <c r="J61" i="31"/>
  <c r="J39" i="31"/>
  <c r="J38" i="31"/>
  <c r="I53" i="31"/>
  <c r="I60" i="31" s="1"/>
  <c r="I63" i="31" s="1"/>
  <c r="L17" i="15"/>
  <c r="O16" i="15"/>
  <c r="C24" i="14"/>
  <c r="N15" i="14"/>
  <c r="O15" i="14"/>
  <c r="N23" i="14"/>
  <c r="O23" i="14"/>
  <c r="N8" i="14"/>
  <c r="O8" i="14"/>
  <c r="G38" i="12"/>
  <c r="G41" i="12"/>
  <c r="G43" i="12" s="1"/>
  <c r="G22" i="14" s="1"/>
  <c r="G24" i="14" s="1"/>
  <c r="H38" i="12"/>
  <c r="H41" i="12"/>
  <c r="H43" i="12" s="1"/>
  <c r="H22" i="14" s="1"/>
  <c r="H24" i="14" s="1"/>
  <c r="K38" i="12"/>
  <c r="K41" i="12"/>
  <c r="K43" i="12" s="1"/>
  <c r="K22" i="14" s="1"/>
  <c r="K24" i="14" s="1"/>
  <c r="J38" i="12"/>
  <c r="J41" i="12"/>
  <c r="J43" i="12" s="1"/>
  <c r="J22" i="14" s="1"/>
  <c r="J24" i="14" s="1"/>
  <c r="L38" i="12"/>
  <c r="L41" i="12"/>
  <c r="L43" i="12" s="1"/>
  <c r="L22" i="14" s="1"/>
  <c r="L24" i="14" s="1"/>
  <c r="E38" i="12"/>
  <c r="E41" i="12"/>
  <c r="E43" i="12" s="1"/>
  <c r="E22" i="14" s="1"/>
  <c r="E24" i="14" s="1"/>
  <c r="I38" i="12"/>
  <c r="F38" i="12"/>
  <c r="F41" i="12"/>
  <c r="F43" i="12" s="1"/>
  <c r="F22" i="14" s="1"/>
  <c r="F24" i="14" s="1"/>
  <c r="D38" i="12"/>
  <c r="J55" i="31" l="1"/>
  <c r="F10" i="33"/>
  <c r="J56" i="31"/>
  <c r="J60" i="31"/>
  <c r="L18" i="15"/>
  <c r="N17" i="15"/>
  <c r="O17" i="15" s="1"/>
  <c r="N22" i="14"/>
  <c r="O22" i="14"/>
  <c r="N24" i="14"/>
  <c r="O24" i="14"/>
  <c r="J63" i="31" l="1"/>
  <c r="J65" i="31" s="1"/>
  <c r="F16" i="33" s="1"/>
  <c r="G6" i="33" s="1"/>
  <c r="K9" i="33"/>
  <c r="J9" i="33"/>
  <c r="I9" i="33"/>
  <c r="H9" i="33"/>
  <c r="G9" i="33"/>
  <c r="L19" i="15"/>
  <c r="N19" i="15" s="1"/>
  <c r="N18" i="15"/>
  <c r="O18" i="15" s="1"/>
  <c r="J66" i="31" l="1"/>
  <c r="G8" i="33"/>
  <c r="G10" i="33" s="1"/>
  <c r="G14" i="33" s="1"/>
  <c r="H6" i="33"/>
  <c r="O19" i="15"/>
  <c r="H8" i="33" l="1"/>
  <c r="H10" i="33" s="1"/>
  <c r="H14" i="33" s="1"/>
  <c r="I6" i="33"/>
  <c r="I8" i="33" l="1"/>
  <c r="I10" i="33" s="1"/>
  <c r="I14" i="33" s="1"/>
  <c r="J6" i="33"/>
  <c r="J8" i="33" l="1"/>
  <c r="J10" i="33" s="1"/>
  <c r="J14" i="33" s="1"/>
  <c r="K6" i="33"/>
  <c r="K8" i="33" s="1"/>
  <c r="K10" i="33" s="1"/>
  <c r="D22" i="33" l="1"/>
  <c r="D26" i="33" s="1"/>
  <c r="K14" i="33"/>
  <c r="D30" i="33" s="1"/>
  <c r="H21" i="33" l="1"/>
  <c r="D31" i="33"/>
  <c r="D32" i="33" s="1"/>
  <c r="D36" i="33" s="1"/>
  <c r="D39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adil</author>
  </authors>
  <commentList>
    <comment ref="K21" authorId="0" shapeId="0" xr:uid="{FFCDE84C-17B0-4C3C-9473-C10E5336DE3A}">
      <text>
        <r>
          <rPr>
            <sz val="9"/>
            <color indexed="81"/>
            <rFont val="Tahoma"/>
            <charset val="1"/>
          </rPr>
          <t xml:space="preserve">Source : https://www.alphaspread.com/security/nse/hindunilvr/discount-rate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82CA94-2F0D-49C7-91B1-521CF90A94B1}" keepAlive="1" name="Query - Beta - Comps" description="Connection to the 'Beta - Comps' query in the workbook." type="5" refreshedVersion="8" background="1" saveData="1">
    <dbPr connection="Provider=Microsoft.Mashup.OleDb.1;Data Source=$Workbook$;Location=&quot;Beta - Comps&quot;;Extended Properties=&quot;&quot;" command="SELECT * FROM [Beta - Comps]"/>
  </connection>
  <connection id="2" xr16:uid="{A78C1C3D-3926-407C-8735-9758EA8733B4}" keepAlive="1" name="Query - Beta - Regression" description="Connection to the 'Beta - Regression' query in the workbook." type="5" refreshedVersion="8" background="1" saveData="1">
    <dbPr connection="Provider=Microsoft.Mashup.OleDb.1;Data Source=$Workbook$;Location=&quot;Beta - Regression&quot;;Extended Properties=&quot;&quot;" command="SELECT * FROM [Beta - Regression]"/>
  </connection>
  <connection id="3" xr16:uid="{06340DFD-DBAB-4872-8413-368E481D2A51}" keepAlive="1" name="Query - DATA&gt;" description="Connection to the 'DATA&gt;' query in the workbook." type="5" refreshedVersion="8" background="1" saveData="1">
    <dbPr connection="Provider=Microsoft.Mashup.OleDb.1;Data Source=$Workbook$;Location=DATA&gt;;Extended Properties=&quot;&quot;" command="SELECT * FROM [DATA&gt;]"/>
  </connection>
  <connection id="4" xr16:uid="{78D7F485-2346-4FE3-99A7-7D9CF8B55125}" keepAlive="1" name="Query - DCF" description="Connection to the 'DCF' query in the workbook." type="5" refreshedVersion="8" background="1" saveData="1">
    <dbPr connection="Provider=Microsoft.Mashup.OleDb.1;Data Source=$Workbook$;Location=DCF;Extended Properties=&quot;&quot;" command="SELECT * FROM [DCF]"/>
  </connection>
  <connection id="5" xr16:uid="{E535C124-5F92-4997-9780-7FBC04AE9CB3}" keepAlive="1" name="Query - DCF&gt;" description="Connection to the 'DCF&gt;' query in the workbook." type="5" refreshedVersion="8" background="1" saveData="1">
    <dbPr connection="Provider=Microsoft.Mashup.OleDb.1;Data Source=$Workbook$;Location=DCF&gt;;Extended Properties=&quot;&quot;" command="SELECT * FROM [DCF&gt;]"/>
  </connection>
  <connection id="6" xr16:uid="{2F940092-E4C3-436B-8A93-9B926DB7FCB1}" keepAlive="1" name="Query - Intrinsic Growth" description="Connection to the 'Intrinsic Growth' query in the workbook." type="5" refreshedVersion="8" background="1" saveData="1">
    <dbPr connection="Provider=Microsoft.Mashup.OleDb.1;Data Source=$Workbook$;Location=&quot;Intrinsic Growth&quot;;Extended Properties=&quot;&quot;" command="SELECT * FROM [Intrinsic Growth]"/>
  </connection>
  <connection id="7" xr16:uid="{6840090B-6080-4526-926E-F81DF0597C99}" keepAlive="1" name="Query - Raw FS" description="Connection to the 'Raw FS' query in the workbook." type="5" refreshedVersion="8" background="1" saveData="1">
    <dbPr connection="Provider=Microsoft.Mashup.OleDb.1;Data Source=$Workbook$;Location=&quot;Raw FS&quot;;Extended Properties=&quot;&quot;" command="SELECT * FROM [Raw FS]"/>
  </connection>
  <connection id="8" xr16:uid="{4C7D7C07-8C23-4E8D-AE40-2F24A9C114E0}" keepAlive="1" name="Query - Rm" description="Connection to the 'Rm' query in the workbook." type="5" refreshedVersion="8" background="1" saveData="1">
    <dbPr connection="Provider=Microsoft.Mashup.OleDb.1;Data Source=$Workbook$;Location=Rm;Extended Properties=&quot;&quot;" command="SELECT * FROM [Rm]"/>
  </connection>
  <connection id="9" xr16:uid="{6D1B133C-577F-4F6B-83F1-35165FB0073D}" keepAlive="1" name="Query - WACC" description="Connection to the 'WACC' query in the workbook." type="5" refreshedVersion="8" background="1" saveData="1">
    <dbPr connection="Provider=Microsoft.Mashup.OleDb.1;Data Source=$Workbook$;Location=WACC;Extended Properties=&quot;&quot;" command="SELECT * FROM [WACC]"/>
  </connection>
</connections>
</file>

<file path=xl/sharedStrings.xml><?xml version="1.0" encoding="utf-8"?>
<sst xmlns="http://schemas.openxmlformats.org/spreadsheetml/2006/main" count="464" uniqueCount="328">
  <si>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</si>
  <si>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</si>
  <si>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</si>
  <si>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</si>
  <si>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</si>
  <si>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</si>
  <si>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</si>
  <si>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</si>
  <si>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</si>
  <si>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</si>
  <si>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</si>
  <si>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</si>
  <si>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</si>
  <si>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</si>
  <si>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</si>
  <si>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</si>
  <si>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</si>
  <si>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</si>
  <si>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</si>
  <si>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</si>
  <si>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</si>
  <si>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</si>
  <si>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</si>
  <si>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</si>
  <si>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</si>
  <si>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</si>
  <si>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</si>
  <si>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</si>
  <si>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</si>
  <si>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</si>
  <si>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</si>
  <si>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</si>
  <si>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</si>
  <si>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</si>
  <si>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</si>
  <si>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</si>
  <si>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</si>
  <si>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</si>
  <si>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</si>
  <si>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</si>
  <si>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</si>
  <si>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</si>
  <si>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</si>
  <si>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</si>
  <si>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</si>
  <si>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</si>
  <si>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</si>
  <si>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</si>
  <si>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</si>
  <si>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</si>
  <si>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</si>
  <si>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</si>
  <si>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</si>
  <si>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</si>
  <si>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 </t>
  </si>
  <si>
    <t>Years</t>
  </si>
  <si>
    <t>Income Statement</t>
  </si>
  <si>
    <t>#</t>
  </si>
  <si>
    <t xml:space="preserve">Sales Growth </t>
  </si>
  <si>
    <t>-</t>
  </si>
  <si>
    <t>COGS</t>
  </si>
  <si>
    <t>COGS % Sales</t>
  </si>
  <si>
    <t>Gross Profit</t>
  </si>
  <si>
    <t>Gross Margin</t>
  </si>
  <si>
    <t>Selling and General Expenses</t>
  </si>
  <si>
    <t>S&amp;G Exp % Sales</t>
  </si>
  <si>
    <t>EBITDA</t>
  </si>
  <si>
    <t>EBITDA Margins</t>
  </si>
  <si>
    <t>Interest % Sales</t>
  </si>
  <si>
    <t>Depreciation % Sales</t>
  </si>
  <si>
    <t>Earnings Before Tax</t>
  </si>
  <si>
    <t>EBT % Sales</t>
  </si>
  <si>
    <t>Effective Tax Rate</t>
  </si>
  <si>
    <t>Net Profit</t>
  </si>
  <si>
    <t>Net Margins</t>
  </si>
  <si>
    <t xml:space="preserve">No.of Equity Shares </t>
  </si>
  <si>
    <t>Earning Per Share</t>
  </si>
  <si>
    <t>Dividend Per Share</t>
  </si>
  <si>
    <t>EPS Growth %</t>
  </si>
  <si>
    <t>Dividend Payout Ratio</t>
  </si>
  <si>
    <t>Retained Earnings</t>
  </si>
  <si>
    <t>Balance Sheet</t>
  </si>
  <si>
    <t>Total Liabilites</t>
  </si>
  <si>
    <t>Total Non-Current Assets</t>
  </si>
  <si>
    <t>Total Current Assets</t>
  </si>
  <si>
    <t>Total Assets</t>
  </si>
  <si>
    <t>Check</t>
  </si>
  <si>
    <t>Cash Flow Statement</t>
  </si>
  <si>
    <t>Cash From operating activities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</si>
  <si>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</si>
  <si>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</si>
  <si>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</si>
  <si>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</si>
  <si>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</si>
  <si>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</si>
  <si>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</si>
  <si>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</si>
  <si>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</si>
  <si>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</si>
  <si>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</si>
  <si>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</si>
  <si>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</si>
  <si>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</si>
  <si>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</si>
  <si>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</si>
  <si>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</si>
  <si>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</si>
  <si>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</si>
  <si>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</si>
  <si>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</si>
  <si>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</si>
  <si>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</si>
  <si>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</si>
  <si>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</si>
  <si>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</si>
  <si>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</si>
  <si>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activities</t>
  </si>
  <si>
    <t>Investing Activities</t>
  </si>
  <si>
    <t>Cash From Investing Activites</t>
  </si>
  <si>
    <t>Financing Activites</t>
  </si>
  <si>
    <t>Cash From Financing Activites</t>
  </si>
  <si>
    <t>SalesGrowth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</si>
  <si>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</si>
  <si>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</si>
  <si>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</si>
  <si>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</si>
  <si>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</si>
  <si>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</si>
  <si>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</si>
  <si>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</si>
  <si>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</si>
  <si>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</si>
  <si>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</si>
  <si>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</si>
  <si>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</si>
  <si>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</si>
  <si>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</si>
  <si>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</si>
  <si>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</si>
  <si>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</si>
  <si>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</si>
  <si>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</si>
  <si>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</si>
  <si>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</si>
  <si>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</si>
  <si>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</si>
  <si>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</si>
  <si>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</si>
  <si>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</si>
  <si>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</si>
  <si>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EBIDTA</t>
  </si>
  <si>
    <t>(in days)</t>
  </si>
  <si>
    <t>Mean</t>
  </si>
  <si>
    <t>Median</t>
  </si>
  <si>
    <t>Trend</t>
  </si>
  <si>
    <t>Year Weight</t>
  </si>
  <si>
    <t>Year</t>
  </si>
  <si>
    <t>Sales Growth</t>
  </si>
  <si>
    <t>HUL LTD - Sales Forecasting</t>
  </si>
  <si>
    <t>HUL LTD - EBITDA Forecasting</t>
  </si>
  <si>
    <t>HUL LTD - Earning Per Share Forecasting</t>
  </si>
  <si>
    <t>EPS</t>
  </si>
  <si>
    <t>EPS Growth</t>
  </si>
  <si>
    <t>S.NO</t>
  </si>
  <si>
    <t>NAME</t>
  </si>
  <si>
    <t>CMP</t>
  </si>
  <si>
    <t>DEBT/EQ</t>
  </si>
  <si>
    <t>MAR CAP</t>
  </si>
  <si>
    <t>DEBT</t>
  </si>
  <si>
    <t>Hind. Unilever</t>
  </si>
  <si>
    <t>ITC</t>
  </si>
  <si>
    <t>Nestle India</t>
  </si>
  <si>
    <t>Varun Beverages</t>
  </si>
  <si>
    <t>Britannia Inds.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</si>
  <si>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</si>
  <si>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</si>
  <si>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</si>
  <si>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</si>
  <si>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</si>
  <si>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</si>
  <si>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</si>
  <si>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</si>
  <si>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</si>
  <si>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</si>
  <si>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</si>
  <si>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</si>
  <si>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</si>
  <si>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</si>
  <si>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</si>
  <si>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</si>
  <si>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</si>
  <si>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</si>
  <si>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</si>
  <si>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</si>
  <si>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</si>
  <si>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</si>
  <si>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</si>
  <si>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</si>
  <si>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</si>
  <si>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</si>
  <si>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</si>
  <si>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</si>
  <si>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</si>
  <si>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</si>
  <si>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Weighted Average Cost of Capital</t>
  </si>
  <si>
    <t>Peer comps</t>
  </si>
  <si>
    <t xml:space="preserve">Debt/ </t>
  </si>
  <si>
    <t>Debt/</t>
  </si>
  <si>
    <t>Levered</t>
  </si>
  <si>
    <t>Unlevered</t>
  </si>
  <si>
    <t>Name of the Company</t>
  </si>
  <si>
    <t xml:space="preserve">Country </t>
  </si>
  <si>
    <t>Total Debt</t>
  </si>
  <si>
    <t>Total Equity</t>
  </si>
  <si>
    <t>Equity</t>
  </si>
  <si>
    <t>Capital</t>
  </si>
  <si>
    <t>India</t>
  </si>
  <si>
    <t>Average</t>
  </si>
  <si>
    <t>Cost of Debt</t>
  </si>
  <si>
    <t>Cost of Equity</t>
  </si>
  <si>
    <t xml:space="preserve">Pre-Tax Cost of Debt </t>
  </si>
  <si>
    <t>Risk Free Return</t>
  </si>
  <si>
    <t>Tax Rate</t>
  </si>
  <si>
    <t>Equity Risk Premium</t>
  </si>
  <si>
    <t>Post Tax Cost of Debt</t>
  </si>
  <si>
    <t>Capital Structure</t>
  </si>
  <si>
    <t>Levered Beta</t>
  </si>
  <si>
    <t xml:space="preserve">Current </t>
  </si>
  <si>
    <t>Target</t>
  </si>
  <si>
    <t>Comps Median Unlevered Beta</t>
  </si>
  <si>
    <t>Target Debt / Equtiy</t>
  </si>
  <si>
    <t>Total Capital</t>
  </si>
  <si>
    <t>Debt/Equity</t>
  </si>
  <si>
    <t>Equity Weight</t>
  </si>
  <si>
    <t>Debt Weight</t>
  </si>
  <si>
    <t>WACC</t>
  </si>
  <si>
    <t>Return on Markets</t>
  </si>
  <si>
    <t>Annual</t>
  </si>
  <si>
    <t>Average Return</t>
  </si>
  <si>
    <t>Dividend Yield</t>
  </si>
  <si>
    <t>Total Market Return</t>
  </si>
  <si>
    <t>Regression Beta</t>
  </si>
  <si>
    <t>Beta 1</t>
  </si>
  <si>
    <t>Date</t>
  </si>
  <si>
    <t>Closing Price</t>
  </si>
  <si>
    <t>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</si>
  <si>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</si>
  <si>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</si>
  <si>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</si>
  <si>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</si>
  <si>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</si>
  <si>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</si>
  <si>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</si>
  <si>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</si>
  <si>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</si>
  <si>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</si>
  <si>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</si>
  <si>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</si>
  <si>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</si>
  <si>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</si>
  <si>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</si>
  <si>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</si>
  <si>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</si>
  <si>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</si>
  <si>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</si>
  <si>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</si>
  <si>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</si>
  <si>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</si>
  <si>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</si>
  <si>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</si>
  <si>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Calculation of PV of FCFF</t>
  </si>
  <si>
    <t>EBIT</t>
  </si>
  <si>
    <t>EBIT(1-T)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</si>
  <si>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</si>
  <si>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</si>
  <si>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</si>
  <si>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</si>
  <si>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</si>
  <si>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</si>
  <si>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</si>
  <si>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Calculation of Terminal Value</t>
  </si>
  <si>
    <t>FCFF(n+1)</t>
  </si>
  <si>
    <t>Terminal Growth Rate</t>
  </si>
  <si>
    <t>Terminal Value</t>
  </si>
  <si>
    <t>Calculation of Equity Value Per Share</t>
  </si>
  <si>
    <t>PV of Terminal Value</t>
  </si>
  <si>
    <t>Value of Operating Assets</t>
  </si>
  <si>
    <t>Add:Cash</t>
  </si>
  <si>
    <t>Less:Debt</t>
  </si>
  <si>
    <t>Value of Equity</t>
  </si>
  <si>
    <t>No. of Shares</t>
  </si>
  <si>
    <t>Equity Value Per Share</t>
  </si>
  <si>
    <t>Calculation ROIC</t>
  </si>
  <si>
    <t>Current Assets</t>
  </si>
  <si>
    <t xml:space="preserve">Inventories </t>
  </si>
  <si>
    <t>Trade receivables</t>
  </si>
  <si>
    <t>Current Liabilites</t>
  </si>
  <si>
    <t>Total Current Liabilities</t>
  </si>
  <si>
    <t>Net Working Capital</t>
  </si>
  <si>
    <t>Non Current Assets</t>
  </si>
  <si>
    <t>Accumalated Depreciation</t>
  </si>
  <si>
    <t>Net Non Current Assets</t>
  </si>
  <si>
    <t>Invested Capital</t>
  </si>
  <si>
    <t>ROIC</t>
  </si>
  <si>
    <t>Calculation of Reinvestment Rate</t>
  </si>
  <si>
    <t>Net Capex</t>
  </si>
  <si>
    <t>Change in Working Capital</t>
  </si>
  <si>
    <t>Marginal Tax</t>
  </si>
  <si>
    <t>EBIT 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</si>
  <si>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</si>
  <si>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</si>
  <si>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</si>
  <si>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</si>
  <si>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</si>
  <si>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</si>
  <si>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r>
      <t xml:space="preserve">1.28% </t>
    </r>
    <r>
      <rPr>
        <vertAlign val="superscript"/>
        <sz val="11"/>
        <color theme="1"/>
        <rFont val="Calibri"/>
        <family val="2"/>
      </rPr>
      <t>1</t>
    </r>
  </si>
  <si>
    <r>
      <t>Tax Rate</t>
    </r>
    <r>
      <rPr>
        <vertAlign val="superscript"/>
        <sz val="11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</si>
  <si>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</si>
  <si>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>Beta</t>
    </r>
    <r>
      <rPr>
        <vertAlign val="superscript"/>
        <sz val="11"/>
        <color theme="1"/>
        <rFont val="Calibri"/>
        <family val="2"/>
      </rPr>
      <t xml:space="preserve"> 3</t>
    </r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</si>
  <si>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</si>
  <si>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</si>
  <si>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</si>
  <si>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</si>
  <si>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All figures in INR unless stated otherwise.</t>
  </si>
  <si>
    <t>Hul Monthy Returns</t>
  </si>
  <si>
    <t>Nifty Monthly Returns</t>
  </si>
  <si>
    <t>Sensitivity Analysis</t>
  </si>
  <si>
    <t>All figures in INR Crores unless stated otherwise.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</si>
</sst>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\-#,##0.0\);\ \-"/>
    <numFmt numFmtId="167" formatCode="&quot;₹&quot;\ #,##0.0;&quot;₹&quot;\ \-#,##0.0"/>
    <numFmt numFmtId="168" formatCode="&quot;₹&quot;\ #,##0.00;\(&quot;₹&quot;#,##0.00\)"/>
    <numFmt numFmtId="169" formatCode="0&quot;x&quot;"/>
    <numFmt numFmtId="170" formatCode="0.00&quot;x&quot;"/>
    <numFmt numFmtId="171" formatCode="0\ "/>
    <numFmt numFmtId="172" formatCode="#,##0.0"/>
    <numFmt numFmtId="173" formatCode="General&quot;A&quot;"/>
    <numFmt numFmtId="174" formatCode="General&quot;E&quot;"/>
    <numFmt numFmtId="175" formatCode="0.0"/>
    <numFmt numFmtId="176" formatCode="0.0%"/>
    <numFmt numFmtId="177" formatCode="#,##0.0;\(#,##0.0\);\-"/>
    <numFmt numFmtId="178" formatCode="mmm/yy\A"/>
    <numFmt numFmtId="179" formatCode="mmm/yy\F"/>
    <numFmt numFmtId="180" formatCode="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vertAlign val="superscript"/>
      <sz val="11"/>
      <color theme="1"/>
      <name val="Calibri"/>
      <family val="2"/>
    </font>
    <font>
      <i/>
      <sz val="10"/>
      <color theme="1"/>
      <name val="Calibri"/>
      <family val="2"/>
    </font>
    <font>
      <sz val="11"/>
      <color rgb="FF0070C0"/>
      <name val="Calibri"/>
      <family val="2"/>
    </font>
    <font>
      <sz val="11"/>
      <color theme="8" tint="-0.249977111117893"/>
      <name val="Calibri"/>
      <family val="2"/>
    </font>
    <font>
      <sz val="11"/>
      <name val="Calibri"/>
      <family val="2"/>
    </font>
    <font>
      <b/>
      <sz val="11"/>
      <color theme="2"/>
      <name val="Calibri"/>
      <family val="2"/>
    </font>
    <font>
      <sz val="11"/>
      <color theme="2"/>
      <name val="Calibri"/>
      <family val="2"/>
    </font>
    <font>
      <i/>
      <sz val="11"/>
      <color theme="1"/>
      <name val="Calibri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b/>
      <sz val="14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9"/>
      <color indexed="81"/>
      <name val="Tahoma"/>
      <charset val="1"/>
    </font>
    <font>
      <sz val="11"/>
      <color rgb="FF0275D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DBE4F0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74">
    <xf numFmtId="0" fontId="0" fillId="0" borderId="0" xfId="0"/>
    <xf numFmtId="43" fontId="2" fillId="0" borderId="0" xfId="1" applyFont="1" applyBorder="1"/>
    <xf numFmtId="43" fontId="0" fillId="0" borderId="0" xfId="1" applyFont="1" applyBorder="1"/>
    <xf numFmtId="43" fontId="4" fillId="0" borderId="0" xfId="1" applyFont="1" applyBorder="1"/>
    <xf numFmtId="165" fontId="3" fillId="3" borderId="0" xfId="0" applyNumberFormat="1" applyFont="1" applyFill="1" applyAlignment="1">
      <alignment horizontal="center"/>
    </xf>
    <xf numFmtId="165" fontId="3" fillId="3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0" fontId="8" fillId="0" borderId="0" xfId="0" applyFont="1"/>
    <xf numFmtId="0" fontId="6" fillId="4" borderId="0" xfId="0" applyFont="1" applyFill="1"/>
    <xf numFmtId="17" fontId="6" fillId="4" borderId="0" xfId="0" applyNumberFormat="1" applyFont="1" applyFill="1"/>
    <xf numFmtId="0" fontId="6" fillId="5" borderId="0" xfId="0" applyFont="1" applyFill="1"/>
    <xf numFmtId="166" fontId="0" fillId="0" borderId="0" xfId="0" applyNumberFormat="1"/>
    <xf numFmtId="0" fontId="9" fillId="0" borderId="0" xfId="0" applyFont="1"/>
    <xf numFmtId="9" fontId="9" fillId="0" borderId="0" xfId="4" applyFont="1"/>
    <xf numFmtId="167" fontId="0" fillId="0" borderId="0" xfId="0" applyNumberFormat="1"/>
    <xf numFmtId="167" fontId="2" fillId="0" borderId="0" xfId="0" applyNumberFormat="1" applyFont="1"/>
    <xf numFmtId="0" fontId="0" fillId="6" borderId="0" xfId="0" applyFill="1"/>
    <xf numFmtId="0" fontId="10" fillId="0" borderId="0" xfId="0" applyFont="1"/>
    <xf numFmtId="0" fontId="2" fillId="6" borderId="0" xfId="0" applyFont="1" applyFill="1"/>
    <xf numFmtId="0" fontId="11" fillId="0" borderId="0" xfId="0" applyFont="1"/>
    <xf numFmtId="3" fontId="0" fillId="0" borderId="0" xfId="0" applyNumberFormat="1"/>
    <xf numFmtId="0" fontId="2" fillId="0" borderId="0" xfId="0" applyFont="1"/>
    <xf numFmtId="168" fontId="0" fillId="0" borderId="0" xfId="0" applyNumberFormat="1"/>
    <xf numFmtId="168" fontId="2" fillId="0" borderId="0" xfId="0" applyNumberFormat="1" applyFont="1"/>
    <xf numFmtId="10" fontId="0" fillId="0" borderId="0" xfId="4" applyNumberFormat="1" applyFont="1"/>
    <xf numFmtId="0" fontId="3" fillId="4" borderId="0" xfId="0" applyFont="1" applyFill="1" applyAlignment="1">
      <alignment horizontal="center"/>
    </xf>
    <xf numFmtId="170" fontId="0" fillId="0" borderId="0" xfId="0" applyNumberFormat="1"/>
    <xf numFmtId="0" fontId="12" fillId="0" borderId="0" xfId="0" applyFont="1"/>
    <xf numFmtId="0" fontId="0" fillId="0" borderId="1" xfId="0" applyBorder="1"/>
    <xf numFmtId="10" fontId="0" fillId="0" borderId="1" xfId="4" applyNumberFormat="1" applyFont="1" applyBorder="1"/>
    <xf numFmtId="10" fontId="0" fillId="0" borderId="0" xfId="4" applyNumberFormat="1" applyFont="1" applyBorder="1"/>
    <xf numFmtId="0" fontId="0" fillId="0" borderId="2" xfId="0" applyBorder="1"/>
    <xf numFmtId="10" fontId="0" fillId="0" borderId="2" xfId="4" applyNumberFormat="1" applyFont="1" applyBorder="1"/>
    <xf numFmtId="169" fontId="0" fillId="0" borderId="2" xfId="4" applyNumberFormat="1" applyFont="1" applyBorder="1"/>
    <xf numFmtId="170" fontId="0" fillId="0" borderId="1" xfId="0" applyNumberFormat="1" applyBorder="1"/>
    <xf numFmtId="170" fontId="0" fillId="0" borderId="2" xfId="0" applyNumberFormat="1" applyBorder="1"/>
    <xf numFmtId="171" fontId="0" fillId="0" borderId="1" xfId="0" applyNumberFormat="1" applyBorder="1"/>
    <xf numFmtId="171" fontId="0" fillId="0" borderId="0" xfId="0" applyNumberFormat="1"/>
    <xf numFmtId="171" fontId="0" fillId="0" borderId="2" xfId="0" applyNumberFormat="1" applyBorder="1"/>
    <xf numFmtId="0" fontId="0" fillId="4" borderId="0" xfId="0" applyFill="1"/>
    <xf numFmtId="0" fontId="3" fillId="4" borderId="0" xfId="0" applyFont="1" applyFill="1"/>
    <xf numFmtId="17" fontId="3" fillId="4" borderId="0" xfId="0" applyNumberFormat="1" applyFont="1" applyFill="1"/>
    <xf numFmtId="9" fontId="0" fillId="0" borderId="1" xfId="4" applyFont="1" applyBorder="1"/>
    <xf numFmtId="9" fontId="0" fillId="0" borderId="0" xfId="4" applyFont="1" applyBorder="1"/>
    <xf numFmtId="9" fontId="0" fillId="0" borderId="2" xfId="4" applyFont="1" applyBorder="1"/>
    <xf numFmtId="0" fontId="0" fillId="0" borderId="0" xfId="0" applyAlignment="1">
      <alignment horizontal="left"/>
    </xf>
    <xf numFmtId="172" fontId="0" fillId="0" borderId="0" xfId="0" applyNumberFormat="1"/>
    <xf numFmtId="0" fontId="3" fillId="4" borderId="0" xfId="0" applyFont="1" applyFill="1" applyAlignment="1">
      <alignment horizontal="right"/>
    </xf>
    <xf numFmtId="173" fontId="0" fillId="0" borderId="0" xfId="0" applyNumberFormat="1"/>
    <xf numFmtId="0" fontId="0" fillId="7" borderId="0" xfId="0" applyFill="1" applyAlignment="1">
      <alignment horizontal="left"/>
    </xf>
    <xf numFmtId="174" fontId="0" fillId="7" borderId="0" xfId="0" applyNumberFormat="1" applyFill="1"/>
    <xf numFmtId="172" fontId="0" fillId="7" borderId="0" xfId="0" applyNumberFormat="1" applyFill="1"/>
    <xf numFmtId="10" fontId="0" fillId="7" borderId="0" xfId="4" applyNumberFormat="1" applyFont="1" applyFill="1"/>
    <xf numFmtId="0" fontId="14" fillId="0" borderId="0" xfId="0" applyFont="1" applyAlignment="1">
      <alignment horizontal="right"/>
    </xf>
    <xf numFmtId="9" fontId="0" fillId="0" borderId="0" xfId="4" applyFont="1"/>
    <xf numFmtId="10" fontId="0" fillId="0" borderId="0" xfId="0" applyNumberFormat="1"/>
    <xf numFmtId="10" fontId="0" fillId="0" borderId="0" xfId="0" applyNumberFormat="1" applyAlignment="1">
      <alignment horizontal="right"/>
    </xf>
    <xf numFmtId="0" fontId="17" fillId="0" borderId="0" xfId="0" applyFont="1"/>
    <xf numFmtId="0" fontId="0" fillId="0" borderId="3" xfId="0" applyBorder="1"/>
    <xf numFmtId="0" fontId="0" fillId="0" borderId="4" xfId="0" applyBorder="1"/>
    <xf numFmtId="0" fontId="18" fillId="0" borderId="0" xfId="0" applyFont="1"/>
    <xf numFmtId="175" fontId="18" fillId="0" borderId="0" xfId="0" applyNumberFormat="1" applyFont="1"/>
    <xf numFmtId="9" fontId="18" fillId="0" borderId="0" xfId="4" applyFont="1"/>
    <xf numFmtId="2" fontId="18" fillId="0" borderId="0" xfId="0" applyNumberFormat="1" applyFont="1"/>
    <xf numFmtId="2" fontId="0" fillId="0" borderId="0" xfId="0" applyNumberFormat="1"/>
    <xf numFmtId="0" fontId="14" fillId="0" borderId="3" xfId="0" applyFont="1" applyBorder="1"/>
    <xf numFmtId="9" fontId="0" fillId="0" borderId="3" xfId="0" applyNumberFormat="1" applyBorder="1"/>
    <xf numFmtId="10" fontId="0" fillId="0" borderId="3" xfId="0" applyNumberFormat="1" applyBorder="1"/>
    <xf numFmtId="2" fontId="0" fillId="0" borderId="3" xfId="0" applyNumberFormat="1" applyBorder="1"/>
    <xf numFmtId="0" fontId="14" fillId="0" borderId="4" xfId="0" applyFont="1" applyBorder="1"/>
    <xf numFmtId="9" fontId="0" fillId="0" borderId="4" xfId="0" applyNumberFormat="1" applyBorder="1"/>
    <xf numFmtId="10" fontId="0" fillId="0" borderId="4" xfId="0" applyNumberFormat="1" applyBorder="1"/>
    <xf numFmtId="2" fontId="0" fillId="0" borderId="4" xfId="0" applyNumberFormat="1" applyBorder="1"/>
    <xf numFmtId="176" fontId="19" fillId="0" borderId="0" xfId="4" applyNumberFormat="1" applyFont="1"/>
    <xf numFmtId="9" fontId="0" fillId="0" borderId="1" xfId="0" applyNumberFormat="1" applyBorder="1"/>
    <xf numFmtId="10" fontId="0" fillId="0" borderId="1" xfId="0" applyNumberFormat="1" applyBorder="1"/>
    <xf numFmtId="0" fontId="14" fillId="0" borderId="4" xfId="0" applyFont="1" applyBorder="1" applyAlignment="1">
      <alignment horizontal="right"/>
    </xf>
    <xf numFmtId="175" fontId="19" fillId="0" borderId="0" xfId="0" applyNumberFormat="1" applyFont="1"/>
    <xf numFmtId="176" fontId="0" fillId="0" borderId="0" xfId="0" applyNumberFormat="1"/>
    <xf numFmtId="2" fontId="0" fillId="0" borderId="1" xfId="0" applyNumberFormat="1" applyBorder="1"/>
    <xf numFmtId="9" fontId="0" fillId="0" borderId="0" xfId="0" applyNumberFormat="1"/>
    <xf numFmtId="0" fontId="14" fillId="0" borderId="0" xfId="0" applyFont="1"/>
    <xf numFmtId="175" fontId="14" fillId="0" borderId="4" xfId="0" applyNumberFormat="1" applyFont="1" applyBorder="1"/>
    <xf numFmtId="15" fontId="14" fillId="0" borderId="4" xfId="0" applyNumberFormat="1" applyFont="1" applyBorder="1" applyAlignment="1">
      <alignment horizontal="right"/>
    </xf>
    <xf numFmtId="15" fontId="0" fillId="0" borderId="0" xfId="0" applyNumberFormat="1"/>
    <xf numFmtId="14" fontId="0" fillId="0" borderId="0" xfId="0" applyNumberFormat="1" applyAlignment="1">
      <alignment horizontal="left"/>
    </xf>
    <xf numFmtId="172" fontId="0" fillId="0" borderId="0" xfId="0" applyNumberFormat="1" applyAlignment="1">
      <alignment horizontal="right"/>
    </xf>
    <xf numFmtId="2" fontId="0" fillId="0" borderId="0" xfId="4" applyNumberFormat="1" applyFont="1"/>
    <xf numFmtId="0" fontId="23" fillId="0" borderId="5" xfId="0" applyFont="1" applyBorder="1" applyAlignment="1">
      <alignment horizontal="centerContinuous"/>
    </xf>
    <xf numFmtId="0" fontId="0" fillId="0" borderId="6" xfId="0" applyBorder="1"/>
    <xf numFmtId="0" fontId="23" fillId="0" borderId="5" xfId="0" applyFont="1" applyBorder="1" applyAlignment="1">
      <alignment horizontal="center"/>
    </xf>
    <xf numFmtId="0" fontId="13" fillId="4" borderId="0" xfId="0" applyFont="1" applyFill="1"/>
    <xf numFmtId="17" fontId="13" fillId="4" borderId="0" xfId="0" applyNumberFormat="1" applyFont="1" applyFill="1"/>
    <xf numFmtId="0" fontId="0" fillId="0" borderId="7" xfId="0" applyBorder="1"/>
    <xf numFmtId="177" fontId="0" fillId="0" borderId="7" xfId="0" applyNumberFormat="1" applyBorder="1"/>
    <xf numFmtId="177" fontId="0" fillId="0" borderId="1" xfId="0" applyNumberFormat="1" applyBorder="1"/>
    <xf numFmtId="177" fontId="14" fillId="0" borderId="3" xfId="0" applyNumberFormat="1" applyFont="1" applyBorder="1"/>
    <xf numFmtId="177" fontId="0" fillId="0" borderId="0" xfId="0" applyNumberFormat="1"/>
    <xf numFmtId="0" fontId="14" fillId="0" borderId="7" xfId="0" applyFont="1" applyBorder="1"/>
    <xf numFmtId="0" fontId="0" fillId="0" borderId="8" xfId="0" applyBorder="1"/>
    <xf numFmtId="177" fontId="0" fillId="0" borderId="8" xfId="0" applyNumberFormat="1" applyBorder="1"/>
    <xf numFmtId="177" fontId="14" fillId="0" borderId="0" xfId="0" applyNumberFormat="1" applyFont="1"/>
    <xf numFmtId="0" fontId="14" fillId="0" borderId="9" xfId="0" applyFont="1" applyBorder="1"/>
    <xf numFmtId="0" fontId="0" fillId="0" borderId="9" xfId="0" applyBorder="1"/>
    <xf numFmtId="177" fontId="0" fillId="0" borderId="9" xfId="0" applyNumberFormat="1" applyBorder="1"/>
    <xf numFmtId="177" fontId="14" fillId="0" borderId="9" xfId="0" applyNumberFormat="1" applyFont="1" applyBorder="1"/>
    <xf numFmtId="4" fontId="14" fillId="0" borderId="0" xfId="0" applyNumberFormat="1" applyFont="1"/>
    <xf numFmtId="10" fontId="14" fillId="0" borderId="9" xfId="4" applyNumberFormat="1" applyFont="1" applyBorder="1"/>
    <xf numFmtId="10" fontId="18" fillId="0" borderId="7" xfId="0" applyNumberFormat="1" applyFont="1" applyBorder="1"/>
    <xf numFmtId="2" fontId="1" fillId="0" borderId="7" xfId="4" applyNumberFormat="1" applyFont="1" applyBorder="1"/>
    <xf numFmtId="0" fontId="14" fillId="9" borderId="0" xfId="0" applyFont="1" applyFill="1"/>
    <xf numFmtId="10" fontId="14" fillId="9" borderId="0" xfId="0" applyNumberFormat="1" applyFont="1" applyFill="1"/>
    <xf numFmtId="10" fontId="0" fillId="0" borderId="7" xfId="0" applyNumberFormat="1" applyBorder="1"/>
    <xf numFmtId="10" fontId="14" fillId="0" borderId="9" xfId="0" applyNumberFormat="1" applyFont="1" applyBorder="1"/>
    <xf numFmtId="178" fontId="13" fillId="4" borderId="0" xfId="0" applyNumberFormat="1" applyFont="1" applyFill="1"/>
    <xf numFmtId="179" fontId="13" fillId="4" borderId="0" xfId="0" applyNumberFormat="1" applyFont="1" applyFill="1"/>
    <xf numFmtId="43" fontId="0" fillId="0" borderId="7" xfId="0" applyNumberFormat="1" applyBorder="1"/>
    <xf numFmtId="180" fontId="0" fillId="0" borderId="7" xfId="0" applyNumberFormat="1" applyBorder="1"/>
    <xf numFmtId="43" fontId="14" fillId="0" borderId="9" xfId="0" applyNumberFormat="1" applyFont="1" applyBorder="1"/>
    <xf numFmtId="0" fontId="0" fillId="10" borderId="0" xfId="0" applyFill="1"/>
    <xf numFmtId="10" fontId="0" fillId="10" borderId="0" xfId="0" applyNumberFormat="1" applyFill="1"/>
    <xf numFmtId="0" fontId="15" fillId="4" borderId="0" xfId="0" applyFont="1" applyFill="1"/>
    <xf numFmtId="43" fontId="0" fillId="0" borderId="0" xfId="0" applyNumberFormat="1"/>
    <xf numFmtId="0" fontId="14" fillId="0" borderId="8" xfId="0" applyFont="1" applyBorder="1"/>
    <xf numFmtId="43" fontId="14" fillId="0" borderId="8" xfId="0" applyNumberFormat="1" applyFont="1" applyBorder="1"/>
    <xf numFmtId="43" fontId="14" fillId="0" borderId="0" xfId="0" applyNumberFormat="1" applyFont="1"/>
    <xf numFmtId="4" fontId="0" fillId="0" borderId="0" xfId="0" applyNumberFormat="1"/>
    <xf numFmtId="17" fontId="15" fillId="4" borderId="0" xfId="0" applyNumberFormat="1" applyFont="1" applyFill="1"/>
    <xf numFmtId="0" fontId="15" fillId="5" borderId="0" xfId="0" applyFont="1" applyFill="1"/>
    <xf numFmtId="17" fontId="15" fillId="5" borderId="0" xfId="0" applyNumberFormat="1" applyFont="1" applyFill="1"/>
    <xf numFmtId="0" fontId="14" fillId="0" borderId="10" xfId="0" applyFont="1" applyBorder="1"/>
    <xf numFmtId="4" fontId="14" fillId="0" borderId="10" xfId="0" applyNumberFormat="1" applyFont="1" applyBorder="1"/>
    <xf numFmtId="4" fontId="0" fillId="0" borderId="10" xfId="0" applyNumberFormat="1" applyBorder="1"/>
    <xf numFmtId="0" fontId="24" fillId="11" borderId="11" xfId="0" applyFont="1" applyFill="1" applyBorder="1" applyAlignment="1">
      <alignment horizontal="left" vertical="center" indent="1"/>
    </xf>
    <xf numFmtId="3" fontId="24" fillId="11" borderId="11" xfId="0" applyNumberFormat="1" applyFont="1" applyFill="1" applyBorder="1" applyAlignment="1">
      <alignment horizontal="right" vertical="center" wrapText="1"/>
    </xf>
    <xf numFmtId="0" fontId="24" fillId="11" borderId="11" xfId="0" applyFont="1" applyFill="1" applyBorder="1" applyAlignment="1">
      <alignment horizontal="left" vertical="center"/>
    </xf>
    <xf numFmtId="0" fontId="24" fillId="11" borderId="0" xfId="0" applyFont="1" applyFill="1" applyAlignment="1">
      <alignment horizontal="left" vertical="center"/>
    </xf>
    <xf numFmtId="0" fontId="24" fillId="11" borderId="0" xfId="0" applyFont="1" applyFill="1" applyAlignment="1">
      <alignment horizontal="right" vertical="center" wrapText="1"/>
    </xf>
    <xf numFmtId="3" fontId="24" fillId="11" borderId="0" xfId="0" applyNumberFormat="1" applyFont="1" applyFill="1" applyAlignment="1">
      <alignment horizontal="right" vertical="center" wrapText="1"/>
    </xf>
    <xf numFmtId="0" fontId="24" fillId="11" borderId="11" xfId="0" applyFont="1" applyFill="1" applyBorder="1" applyAlignment="1">
      <alignment horizontal="right" vertical="center" wrapText="1"/>
    </xf>
    <xf numFmtId="0" fontId="24" fillId="12" borderId="11" xfId="0" applyFont="1" applyFill="1" applyBorder="1" applyAlignment="1">
      <alignment horizontal="left" vertical="center" indent="1"/>
    </xf>
    <xf numFmtId="0" fontId="24" fillId="12" borderId="11" xfId="0" applyFont="1" applyFill="1" applyBorder="1" applyAlignment="1">
      <alignment horizontal="right" vertical="center" wrapText="1"/>
    </xf>
    <xf numFmtId="3" fontId="24" fillId="12" borderId="11" xfId="0" applyNumberFormat="1" applyFont="1" applyFill="1" applyBorder="1" applyAlignment="1">
      <alignment horizontal="right" vertical="center" wrapText="1"/>
    </xf>
    <xf numFmtId="0" fontId="24" fillId="12" borderId="0" xfId="0" applyFont="1" applyFill="1" applyAlignment="1">
      <alignment horizontal="left" vertical="center"/>
    </xf>
    <xf numFmtId="0" fontId="24" fillId="12" borderId="0" xfId="0" applyFont="1" applyFill="1" applyAlignment="1">
      <alignment horizontal="right" vertical="center" wrapText="1"/>
    </xf>
    <xf numFmtId="3" fontId="24" fillId="12" borderId="0" xfId="0" applyNumberFormat="1" applyFont="1" applyFill="1" applyAlignment="1">
      <alignment horizontal="right" vertical="center" wrapText="1"/>
    </xf>
    <xf numFmtId="0" fontId="0" fillId="5" borderId="0" xfId="0" applyFill="1"/>
    <xf numFmtId="175" fontId="0" fillId="7" borderId="0" xfId="0" applyNumberFormat="1" applyFill="1"/>
    <xf numFmtId="0" fontId="24" fillId="5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 wrapText="1"/>
    </xf>
    <xf numFmtId="3" fontId="24" fillId="5" borderId="0" xfId="0" applyNumberFormat="1" applyFont="1" applyFill="1" applyAlignment="1">
      <alignment horizontal="right" vertical="center" wrapText="1"/>
    </xf>
    <xf numFmtId="0" fontId="26" fillId="4" borderId="0" xfId="0" applyFont="1" applyFill="1"/>
    <xf numFmtId="0" fontId="2" fillId="0" borderId="0" xfId="0" applyFont="1" applyAlignment="1">
      <alignment horizontal="left"/>
    </xf>
    <xf numFmtId="10" fontId="2" fillId="0" borderId="0" xfId="0" applyNumberFormat="1" applyFont="1"/>
    <xf numFmtId="172" fontId="0" fillId="7" borderId="0" xfId="0" applyNumberFormat="1" applyFill="1" applyAlignment="1">
      <alignment horizontal="right"/>
    </xf>
    <xf numFmtId="176" fontId="20" fillId="0" borderId="7" xfId="0" applyNumberFormat="1" applyFont="1" applyBorder="1"/>
    <xf numFmtId="10" fontId="14" fillId="0" borderId="0" xfId="4" applyNumberFormat="1" applyFont="1" applyBorder="1"/>
    <xf numFmtId="10" fontId="29" fillId="5" borderId="0" xfId="0" applyNumberFormat="1" applyFont="1" applyFill="1"/>
    <xf numFmtId="176" fontId="29" fillId="0" borderId="0" xfId="4" applyNumberFormat="1" applyFont="1"/>
    <xf numFmtId="9" fontId="2" fillId="0" borderId="0" xfId="4" applyFont="1"/>
    <xf numFmtId="10" fontId="2" fillId="0" borderId="0" xfId="4" applyNumberFormat="1" applyFont="1"/>
    <xf numFmtId="43" fontId="6" fillId="0" borderId="0" xfId="0" applyNumberFormat="1" applyFont="1"/>
    <xf numFmtId="2" fontId="0" fillId="13" borderId="0" xfId="0" applyNumberFormat="1" applyFill="1"/>
    <xf numFmtId="0" fontId="2" fillId="4" borderId="0" xfId="0" applyFont="1" applyFill="1"/>
    <xf numFmtId="10" fontId="14" fillId="0" borderId="0" xfId="4" applyNumberFormat="1" applyFont="1" applyFill="1" applyBorder="1"/>
    <xf numFmtId="0" fontId="21" fillId="8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5" fillId="0" borderId="0" xfId="2" applyNumberFormat="1" applyBorder="1" applyAlignment="1" applyProtection="1">
      <alignment horizontal="center"/>
    </xf>
    <xf numFmtId="43" fontId="3" fillId="2" borderId="0" xfId="3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65ed58afa601ead/Desktop/wacc.xlsx" TargetMode="External"/><Relationship Id="rId1" Type="http://schemas.openxmlformats.org/officeDocument/2006/relationships/externalLinkPath" Target="wa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&gt;"/>
      <sheetName val="WACC"/>
      <sheetName val="DATA&gt;"/>
      <sheetName val="Beta - Regression"/>
      <sheetName val="Beta - Comps"/>
      <sheetName val="Rm"/>
      <sheetName val="Intrinsic Growth"/>
      <sheetName val="DCF"/>
      <sheetName val="Raw F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J3">
            <v>44256</v>
          </cell>
          <cell r="K3">
            <v>44621</v>
          </cell>
          <cell r="L3">
            <v>44986</v>
          </cell>
          <cell r="M3">
            <v>45352</v>
          </cell>
          <cell r="N3">
            <v>45717</v>
          </cell>
        </row>
        <row r="13">
          <cell r="J13">
            <v>8802</v>
          </cell>
          <cell r="K13">
            <v>9068</v>
          </cell>
          <cell r="L13">
            <v>9574</v>
          </cell>
          <cell r="M13">
            <v>10486</v>
          </cell>
          <cell r="N13">
            <v>11315</v>
          </cell>
        </row>
        <row r="14">
          <cell r="J14">
            <v>96</v>
          </cell>
          <cell r="K14">
            <v>119</v>
          </cell>
          <cell r="L14">
            <v>98</v>
          </cell>
          <cell r="M14">
            <v>91</v>
          </cell>
          <cell r="N14">
            <v>105</v>
          </cell>
        </row>
        <row r="15">
          <cell r="J15">
            <v>12148</v>
          </cell>
          <cell r="K15">
            <v>11189</v>
          </cell>
          <cell r="L15">
            <v>11664</v>
          </cell>
          <cell r="M15">
            <v>15005</v>
          </cell>
          <cell r="N15">
            <v>17186</v>
          </cell>
        </row>
        <row r="19">
          <cell r="B19" t="str">
            <v>Land</v>
          </cell>
          <cell r="J19">
            <v>477</v>
          </cell>
          <cell r="K19">
            <v>477</v>
          </cell>
          <cell r="L19">
            <v>609</v>
          </cell>
          <cell r="M19">
            <v>633</v>
          </cell>
          <cell r="N19">
            <v>628</v>
          </cell>
        </row>
        <row r="20">
          <cell r="B20" t="str">
            <v>Building</v>
          </cell>
          <cell r="J20">
            <v>2602</v>
          </cell>
          <cell r="K20">
            <v>2788</v>
          </cell>
          <cell r="L20">
            <v>3101</v>
          </cell>
          <cell r="M20">
            <v>3590</v>
          </cell>
          <cell r="N20">
            <v>3833</v>
          </cell>
        </row>
        <row r="21">
          <cell r="B21" t="str">
            <v>Plant Machinery</v>
          </cell>
          <cell r="J21">
            <v>6097</v>
          </cell>
          <cell r="K21">
            <v>6566</v>
          </cell>
          <cell r="L21">
            <v>7612</v>
          </cell>
          <cell r="M21">
            <v>8946</v>
          </cell>
          <cell r="N21">
            <v>9900</v>
          </cell>
        </row>
        <row r="22">
          <cell r="B22" t="str">
            <v>Equipments</v>
          </cell>
          <cell r="J22">
            <v>175</v>
          </cell>
          <cell r="K22">
            <v>181</v>
          </cell>
          <cell r="L22">
            <v>185</v>
          </cell>
          <cell r="M22">
            <v>206</v>
          </cell>
          <cell r="N22">
            <v>245</v>
          </cell>
        </row>
        <row r="23">
          <cell r="B23" t="str">
            <v>Furniture n fittings</v>
          </cell>
          <cell r="J23">
            <v>156</v>
          </cell>
          <cell r="K23">
            <v>152</v>
          </cell>
          <cell r="L23">
            <v>161</v>
          </cell>
          <cell r="M23">
            <v>165</v>
          </cell>
          <cell r="N23">
            <v>174</v>
          </cell>
        </row>
        <row r="24">
          <cell r="B24" t="str">
            <v>Vehicles</v>
          </cell>
          <cell r="J24">
            <v>0</v>
          </cell>
          <cell r="K24">
            <v>0</v>
          </cell>
          <cell r="L24">
            <v>33</v>
          </cell>
          <cell r="M24">
            <v>39</v>
          </cell>
          <cell r="N24">
            <v>102</v>
          </cell>
        </row>
        <row r="25">
          <cell r="B25" t="str">
            <v>Intangible Assets</v>
          </cell>
          <cell r="J25">
            <v>45262</v>
          </cell>
          <cell r="K25">
            <v>45262</v>
          </cell>
          <cell r="L25">
            <v>45692</v>
          </cell>
          <cell r="M25">
            <v>45692</v>
          </cell>
          <cell r="N25">
            <v>45692</v>
          </cell>
        </row>
        <row r="26">
          <cell r="B26" t="str">
            <v>Other fixed assets</v>
          </cell>
          <cell r="J26">
            <v>155</v>
          </cell>
          <cell r="K26">
            <v>152</v>
          </cell>
          <cell r="L26">
            <v>171</v>
          </cell>
          <cell r="M26">
            <v>180</v>
          </cell>
          <cell r="N26">
            <v>190</v>
          </cell>
        </row>
        <row r="27">
          <cell r="B27" t="str">
            <v>Gross Block</v>
          </cell>
        </row>
        <row r="28">
          <cell r="J28">
            <v>3481</v>
          </cell>
          <cell r="K28">
            <v>4105</v>
          </cell>
          <cell r="L28">
            <v>4886</v>
          </cell>
          <cell r="M28">
            <v>5707</v>
          </cell>
          <cell r="N28">
            <v>6429</v>
          </cell>
        </row>
        <row r="33">
          <cell r="J33">
            <v>3579</v>
          </cell>
          <cell r="K33">
            <v>4096</v>
          </cell>
          <cell r="L33">
            <v>4251</v>
          </cell>
          <cell r="M33">
            <v>4022</v>
          </cell>
          <cell r="N33">
            <v>4415</v>
          </cell>
        </row>
        <row r="34">
          <cell r="J34">
            <v>1758</v>
          </cell>
          <cell r="K34">
            <v>2236</v>
          </cell>
          <cell r="L34">
            <v>3079</v>
          </cell>
          <cell r="M34">
            <v>2997</v>
          </cell>
          <cell r="N34">
            <v>3819</v>
          </cell>
        </row>
        <row r="36">
          <cell r="J36">
            <v>78</v>
          </cell>
          <cell r="K36">
            <v>170</v>
          </cell>
          <cell r="L36">
            <v>188</v>
          </cell>
          <cell r="M36">
            <v>172</v>
          </cell>
          <cell r="N36">
            <v>242</v>
          </cell>
        </row>
        <row r="37">
          <cell r="J37">
            <v>3957</v>
          </cell>
          <cell r="K37">
            <v>3851</v>
          </cell>
          <cell r="L37">
            <v>4189</v>
          </cell>
          <cell r="M37">
            <v>4345</v>
          </cell>
          <cell r="N37">
            <v>4679</v>
          </cell>
        </row>
      </sheetData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DA1B-0EB7-4ACA-82D8-D8594EB30C80}">
  <sheetPr>
    <tabColor rgb="FF002060"/>
  </sheetPr>
  <dimension ref="A1"/>
  <sheetViews>
    <sheetView showGridLines="0" workbookViewId="0">
      <selection activeCell="K15" sqref="K15"/>
    </sheetView>
  </sheetViews>
  <sheetFormatPr defaultRowHeight="14.5" x14ac:dyDescent="0.35"/>
  <cols>
    <col min="1" max="1" width="1.816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7DE1-A635-4290-B6C8-01C73CCD8072}">
  <dimension ref="B2:K42"/>
  <sheetViews>
    <sheetView showGridLines="0" tabSelected="1" topLeftCell="A27" workbookViewId="0">
      <selection activeCell="H42" sqref="H42:K42"/>
    </sheetView>
  </sheetViews>
  <sheetFormatPr defaultRowHeight="14.5" x14ac:dyDescent="0.35"/>
  <cols>
    <col min="1" max="1" width="1.81640625" customWidth="1"/>
    <col min="2" max="2" width="36.90625" bestFit="1" customWidth="1"/>
    <col min="3" max="3" width="9.81640625" bestFit="1" customWidth="1"/>
    <col min="4" max="4" width="9.453125" bestFit="1" customWidth="1"/>
    <col min="5" max="5" width="10.6328125" bestFit="1" customWidth="1"/>
    <col min="6" max="6" width="8.81640625" bestFit="1" customWidth="1"/>
    <col min="7" max="7" width="6.08984375" bestFit="1" customWidth="1"/>
    <col min="8" max="8" width="29.08984375" bestFit="1" customWidth="1"/>
    <col min="9" max="9" width="7.36328125" bestFit="1" customWidth="1"/>
    <col min="10" max="10" width="9.36328125" bestFit="1" customWidth="1"/>
    <col min="11" max="11" width="6.81640625" bestFit="1" customWidth="1"/>
  </cols>
  <sheetData>
    <row r="2" spans="2:11" ht="18.5" x14ac:dyDescent="0.45">
      <c r="B2" s="152" t="s">
        <v>204</v>
      </c>
      <c r="C2" s="152"/>
      <c r="D2" s="152"/>
      <c r="E2" s="152"/>
      <c r="F2" s="9"/>
    </row>
    <row r="4" spans="2:11" x14ac:dyDescent="0.35">
      <c r="B4" s="58" t="s">
        <v>323</v>
      </c>
      <c r="C4" s="58"/>
      <c r="D4" s="58"/>
      <c r="E4" s="58"/>
    </row>
    <row r="6" spans="2:11" x14ac:dyDescent="0.35">
      <c r="B6" t="s">
        <v>205</v>
      </c>
    </row>
    <row r="7" spans="2:11" x14ac:dyDescent="0.35">
      <c r="B7" s="59"/>
      <c r="C7" s="59"/>
      <c r="D7" s="59"/>
      <c r="E7" s="59"/>
      <c r="F7" s="59"/>
      <c r="G7" s="59" t="s">
        <v>206</v>
      </c>
      <c r="H7" s="59" t="s">
        <v>207</v>
      </c>
      <c r="I7" s="59" t="s">
        <v>208</v>
      </c>
      <c r="J7" s="59" t="s">
        <v>209</v>
      </c>
    </row>
    <row r="8" spans="2:11" ht="16.5" x14ac:dyDescent="0.35">
      <c r="B8" s="60" t="s">
        <v>210</v>
      </c>
      <c r="C8" s="60" t="s">
        <v>211</v>
      </c>
      <c r="D8" s="60" t="s">
        <v>212</v>
      </c>
      <c r="E8" s="60" t="s">
        <v>213</v>
      </c>
      <c r="F8" s="60" t="s">
        <v>316</v>
      </c>
      <c r="G8" s="60" t="s">
        <v>214</v>
      </c>
      <c r="H8" s="60" t="s">
        <v>215</v>
      </c>
      <c r="I8" s="60" t="s">
        <v>317</v>
      </c>
      <c r="J8" s="60" t="s">
        <v>318</v>
      </c>
    </row>
    <row r="9" spans="2:11" x14ac:dyDescent="0.35">
      <c r="B9" s="61" t="s">
        <v>169</v>
      </c>
      <c r="C9" s="61" t="s">
        <v>216</v>
      </c>
      <c r="D9" s="62">
        <v>1775</v>
      </c>
      <c r="E9" s="62">
        <v>546550.21</v>
      </c>
      <c r="F9" s="63">
        <v>0.25</v>
      </c>
      <c r="G9" s="25">
        <f>D9/E9</f>
        <v>3.2476430664988678E-3</v>
      </c>
      <c r="H9" s="25">
        <f>D9/SUM(D9:E9)</f>
        <v>3.2371300236222955E-3</v>
      </c>
      <c r="I9" s="64">
        <v>1.01</v>
      </c>
      <c r="J9" s="65">
        <f>I9/(1+(1-F9)*G9)</f>
        <v>1.0075458879371459</v>
      </c>
    </row>
    <row r="10" spans="2:11" x14ac:dyDescent="0.35">
      <c r="B10" s="61" t="s">
        <v>170</v>
      </c>
      <c r="C10" s="61" t="s">
        <v>216</v>
      </c>
      <c r="D10" s="62">
        <v>362.97</v>
      </c>
      <c r="E10" s="62">
        <v>416596.81</v>
      </c>
      <c r="F10" s="63">
        <v>0.25</v>
      </c>
      <c r="G10" s="25">
        <f>D10/E10</f>
        <v>8.7127407432620535E-4</v>
      </c>
      <c r="H10" s="25">
        <f>D10/SUM(D10:E10)</f>
        <v>8.7051561663813247E-4</v>
      </c>
      <c r="I10" s="64">
        <v>0.64</v>
      </c>
      <c r="J10" s="65">
        <f>I10/(1+(1-F10)*G10)</f>
        <v>0.63958206154852648</v>
      </c>
    </row>
    <row r="11" spans="2:11" x14ac:dyDescent="0.35">
      <c r="B11" s="61" t="s">
        <v>171</v>
      </c>
      <c r="C11" s="61" t="s">
        <v>216</v>
      </c>
      <c r="D11" s="62">
        <v>476.85</v>
      </c>
      <c r="E11" s="62">
        <v>250989.48</v>
      </c>
      <c r="F11" s="63">
        <v>0.25</v>
      </c>
      <c r="G11" s="25">
        <f>D11/E11</f>
        <v>1.8998804252672264E-3</v>
      </c>
      <c r="H11" s="25">
        <f>D11/SUM(D11:E11)</f>
        <v>1.8962777243378866E-3</v>
      </c>
      <c r="I11" s="64">
        <v>0.71</v>
      </c>
      <c r="J11" s="65">
        <f>I11/(1+(1-F11)*G11)</f>
        <v>0.70898975318465707</v>
      </c>
    </row>
    <row r="12" spans="2:11" x14ac:dyDescent="0.35">
      <c r="B12" s="61" t="s">
        <v>172</v>
      </c>
      <c r="C12" s="61" t="s">
        <v>216</v>
      </c>
      <c r="D12" s="62">
        <v>2508.19</v>
      </c>
      <c r="E12" s="62">
        <v>156135.31</v>
      </c>
      <c r="F12" s="63">
        <v>0.25</v>
      </c>
      <c r="G12" s="25">
        <f>D12/E12</f>
        <v>1.6064207385248091E-2</v>
      </c>
      <c r="H12" s="25">
        <f>D12/SUM(D12:E12)</f>
        <v>1.5810228594301059E-2</v>
      </c>
      <c r="I12" s="64">
        <v>0.98</v>
      </c>
      <c r="J12" s="65">
        <f>I12/(1+(1-F12)*G12)</f>
        <v>0.96833336895726096</v>
      </c>
      <c r="K12" t="s">
        <v>54</v>
      </c>
    </row>
    <row r="13" spans="2:11" x14ac:dyDescent="0.35">
      <c r="B13" s="61" t="s">
        <v>173</v>
      </c>
      <c r="C13" s="61" t="s">
        <v>216</v>
      </c>
      <c r="D13" s="62">
        <v>2196.3000000000002</v>
      </c>
      <c r="E13" s="62">
        <v>148496.07999999999</v>
      </c>
      <c r="F13" s="63">
        <v>0.25</v>
      </c>
      <c r="G13" s="25">
        <f>D13/E13</f>
        <v>1.479028941370035E-2</v>
      </c>
      <c r="H13" s="25">
        <f>D13/SUM(D13:E13)</f>
        <v>1.4574725012638333E-2</v>
      </c>
      <c r="I13" s="64">
        <v>0.81</v>
      </c>
      <c r="J13" s="65">
        <f>I13/(1+(1-F13)*G13)</f>
        <v>0.80111347488987272</v>
      </c>
    </row>
    <row r="15" spans="2:11" x14ac:dyDescent="0.35">
      <c r="E15" s="66" t="s">
        <v>217</v>
      </c>
      <c r="F15" s="67">
        <f>AVERAGE(F9:F13)</f>
        <v>0.25</v>
      </c>
      <c r="G15" s="68">
        <f>AVERAGE(G9:G13)</f>
        <v>7.3746588730081485E-3</v>
      </c>
      <c r="H15" s="68">
        <f>AVERAGE(H9:H13)</f>
        <v>7.2777753943075408E-3</v>
      </c>
      <c r="I15" s="69">
        <f>AVERAGE(I9:I13)</f>
        <v>0.83000000000000007</v>
      </c>
      <c r="J15" s="69">
        <f>AVERAGE(J9:J13)</f>
        <v>0.82511290930349257</v>
      </c>
    </row>
    <row r="16" spans="2:11" x14ac:dyDescent="0.35">
      <c r="E16" s="70" t="s">
        <v>153</v>
      </c>
      <c r="F16" s="71">
        <f>MEDIAN(F9:F13)</f>
        <v>0.25</v>
      </c>
      <c r="G16" s="72">
        <f>MEDIAN(G9:G12)</f>
        <v>2.5737617458830471E-3</v>
      </c>
      <c r="H16" s="72">
        <f>MEDIAN(H9:H12)</f>
        <v>2.566703873980091E-3</v>
      </c>
      <c r="I16" s="73">
        <f>MEDIAN(I9:I12)</f>
        <v>0.84499999999999997</v>
      </c>
      <c r="J16" s="73">
        <f>MEDIAN(J9:J12)</f>
        <v>0.83866156107095902</v>
      </c>
    </row>
    <row r="19" spans="2:11" x14ac:dyDescent="0.35">
      <c r="B19" s="70" t="s">
        <v>218</v>
      </c>
      <c r="C19" s="70"/>
      <c r="D19" s="70"/>
      <c r="E19" s="70"/>
      <c r="H19" s="70" t="s">
        <v>219</v>
      </c>
      <c r="I19" s="70"/>
      <c r="J19" s="70"/>
      <c r="K19" s="70"/>
    </row>
    <row r="21" spans="2:11" x14ac:dyDescent="0.35">
      <c r="B21" t="s">
        <v>220</v>
      </c>
      <c r="E21" s="74">
        <f>88/1775</f>
        <v>4.9577464788732394E-2</v>
      </c>
      <c r="H21" t="s">
        <v>221</v>
      </c>
      <c r="K21" s="158">
        <v>6.6699999999999995E-2</v>
      </c>
    </row>
    <row r="22" spans="2:11" x14ac:dyDescent="0.35">
      <c r="B22" t="s">
        <v>222</v>
      </c>
      <c r="E22" s="159">
        <v>0.25</v>
      </c>
      <c r="H22" t="s">
        <v>223</v>
      </c>
      <c r="K22" s="56">
        <f>RM!G8-WACC!K21</f>
        <v>8.4792307692307708E-2</v>
      </c>
    </row>
    <row r="23" spans="2:11" ht="16.5" x14ac:dyDescent="0.35">
      <c r="B23" s="29" t="s">
        <v>224</v>
      </c>
      <c r="C23" s="29"/>
      <c r="D23" s="29"/>
      <c r="E23" s="75">
        <f>E21*(1-E22)</f>
        <v>3.7183098591549293E-2</v>
      </c>
      <c r="H23" t="s">
        <v>319</v>
      </c>
      <c r="K23" s="65">
        <f>K32</f>
        <v>1.0467898671670066</v>
      </c>
    </row>
    <row r="24" spans="2:11" x14ac:dyDescent="0.35">
      <c r="H24" s="29" t="s">
        <v>219</v>
      </c>
      <c r="I24" s="29"/>
      <c r="J24" s="29"/>
      <c r="K24" s="76">
        <f>K21+(K22*K23)</f>
        <v>0.15545972850601475</v>
      </c>
    </row>
    <row r="27" spans="2:11" x14ac:dyDescent="0.35">
      <c r="B27" s="70" t="s">
        <v>225</v>
      </c>
      <c r="C27" s="70"/>
      <c r="D27" s="70"/>
      <c r="E27" s="70"/>
      <c r="H27" s="70" t="s">
        <v>226</v>
      </c>
      <c r="I27" s="70"/>
      <c r="J27" s="70"/>
      <c r="K27" s="70"/>
    </row>
    <row r="29" spans="2:11" x14ac:dyDescent="0.35">
      <c r="D29" s="77" t="s">
        <v>227</v>
      </c>
      <c r="E29" s="77" t="s">
        <v>228</v>
      </c>
      <c r="H29" t="s">
        <v>229</v>
      </c>
      <c r="K29" s="65">
        <f>J16</f>
        <v>0.83866156107095902</v>
      </c>
    </row>
    <row r="30" spans="2:11" x14ac:dyDescent="0.35">
      <c r="B30" t="s">
        <v>212</v>
      </c>
      <c r="C30" s="78">
        <f>D9</f>
        <v>1775</v>
      </c>
      <c r="D30" s="25">
        <f>C30/$C$32</f>
        <v>3.2371300236222955E-3</v>
      </c>
      <c r="E30" s="56">
        <f>H15</f>
        <v>7.2777753943075408E-3</v>
      </c>
      <c r="H30" t="s">
        <v>230</v>
      </c>
      <c r="K30" s="56">
        <f>E34</f>
        <v>7.3311297097214279E-3</v>
      </c>
    </row>
    <row r="31" spans="2:11" x14ac:dyDescent="0.35">
      <c r="B31" t="s">
        <v>43</v>
      </c>
      <c r="C31" s="78">
        <f>E9</f>
        <v>546550.21</v>
      </c>
      <c r="D31" s="25">
        <f>C31/$C$32</f>
        <v>0.99676286997637775</v>
      </c>
      <c r="E31" s="56">
        <f>E32-E30</f>
        <v>0.99272222460569248</v>
      </c>
      <c r="H31" t="s">
        <v>222</v>
      </c>
      <c r="K31" s="79">
        <f>E22</f>
        <v>0.25</v>
      </c>
    </row>
    <row r="32" spans="2:11" x14ac:dyDescent="0.35">
      <c r="B32" s="29" t="s">
        <v>231</v>
      </c>
      <c r="C32" s="29">
        <f>SUM(C30:C31)</f>
        <v>548325.21</v>
      </c>
      <c r="D32" s="43">
        <f>C32/$C$32</f>
        <v>1</v>
      </c>
      <c r="E32" s="43">
        <v>1</v>
      </c>
      <c r="H32" s="29" t="s">
        <v>226</v>
      </c>
      <c r="I32" s="29"/>
      <c r="J32" s="29"/>
      <c r="K32" s="80">
        <f>K29*(1+(1-K30)*K31)</f>
        <v>1.0467898671670066</v>
      </c>
    </row>
    <row r="33" spans="2:11" x14ac:dyDescent="0.35">
      <c r="B33" t="s">
        <v>54</v>
      </c>
    </row>
    <row r="34" spans="2:11" x14ac:dyDescent="0.35">
      <c r="B34" t="s">
        <v>232</v>
      </c>
      <c r="D34" s="56">
        <f>D30/D31</f>
        <v>3.2476430664988678E-3</v>
      </c>
      <c r="E34" s="56">
        <f>E30/E31</f>
        <v>7.3311297097214279E-3</v>
      </c>
      <c r="H34" s="70" t="s">
        <v>204</v>
      </c>
      <c r="I34" s="70"/>
      <c r="J34" s="70"/>
      <c r="K34" s="70"/>
    </row>
    <row r="36" spans="2:11" x14ac:dyDescent="0.35">
      <c r="F36" t="s">
        <v>54</v>
      </c>
      <c r="H36" t="s">
        <v>219</v>
      </c>
      <c r="K36" s="56">
        <f>K24</f>
        <v>0.15545972850601475</v>
      </c>
    </row>
    <row r="37" spans="2:11" x14ac:dyDescent="0.35">
      <c r="H37" t="s">
        <v>233</v>
      </c>
      <c r="K37" s="56">
        <f>E31</f>
        <v>0.99272222460569248</v>
      </c>
    </row>
    <row r="39" spans="2:11" x14ac:dyDescent="0.35">
      <c r="H39" t="s">
        <v>218</v>
      </c>
      <c r="K39" s="81">
        <f>E23</f>
        <v>3.7183098591549293E-2</v>
      </c>
    </row>
    <row r="40" spans="2:11" x14ac:dyDescent="0.35">
      <c r="H40" t="s">
        <v>234</v>
      </c>
      <c r="K40" s="56">
        <f>E30</f>
        <v>7.2777753943075408E-3</v>
      </c>
    </row>
    <row r="42" spans="2:11" x14ac:dyDescent="0.35">
      <c r="H42" s="22" t="s">
        <v>235</v>
      </c>
      <c r="I42" s="22"/>
      <c r="J42" s="22"/>
      <c r="K42" s="154">
        <f>(K36*K37)+(K39*K40)</f>
        <v>0.15459893775910163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FE0C-D370-415F-AAC5-DC2C0353ADCB}">
  <sheetPr>
    <tabColor rgb="FF002060"/>
  </sheetPr>
  <dimension ref="G19:J20"/>
  <sheetViews>
    <sheetView showGridLines="0" zoomScale="58" workbookViewId="0">
      <selection activeCell="O17" sqref="O17"/>
    </sheetView>
  </sheetViews>
  <sheetFormatPr defaultRowHeight="14.5" x14ac:dyDescent="0.35"/>
  <sheetData>
    <row r="19" spans="7:10" x14ac:dyDescent="0.35">
      <c r="G19" s="11" t="s">
        <v>54</v>
      </c>
    </row>
    <row r="20" spans="7:10" x14ac:dyDescent="0.35">
      <c r="J20" s="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DDC3-354C-4A8B-AA61-1F1A1DC7A396}">
  <dimension ref="B2:Q68"/>
  <sheetViews>
    <sheetView showGridLines="0" zoomScale="70" workbookViewId="0">
      <selection activeCell="N11" sqref="N11"/>
    </sheetView>
  </sheetViews>
  <sheetFormatPr defaultRowHeight="14.5" x14ac:dyDescent="0.35"/>
  <cols>
    <col min="1" max="1" width="1.81640625" customWidth="1"/>
    <col min="2" max="2" width="14.1796875" bestFit="1" customWidth="1"/>
    <col min="3" max="3" width="11.26953125" bestFit="1" customWidth="1"/>
    <col min="6" max="6" width="11.26953125" bestFit="1" customWidth="1"/>
    <col min="7" max="7" width="6.54296875" bestFit="1" customWidth="1"/>
  </cols>
  <sheetData>
    <row r="2" spans="2:10" x14ac:dyDescent="0.35">
      <c r="B2" s="82" t="s">
        <v>241</v>
      </c>
      <c r="C2" s="82"/>
    </row>
    <row r="3" spans="2:10" x14ac:dyDescent="0.35">
      <c r="B3" s="82"/>
      <c r="C3" s="82"/>
    </row>
    <row r="4" spans="2:10" x14ac:dyDescent="0.35">
      <c r="B4" s="82"/>
      <c r="C4" s="82"/>
    </row>
    <row r="5" spans="2:10" x14ac:dyDescent="0.35">
      <c r="B5" s="166" t="s">
        <v>324</v>
      </c>
      <c r="C5" s="166"/>
      <c r="F5" s="166" t="s">
        <v>325</v>
      </c>
      <c r="G5" s="166"/>
      <c r="I5" s="167"/>
      <c r="J5" s="167"/>
    </row>
    <row r="6" spans="2:10" x14ac:dyDescent="0.35">
      <c r="B6" s="82"/>
      <c r="C6" s="82"/>
    </row>
    <row r="7" spans="2:10" x14ac:dyDescent="0.35">
      <c r="B7" s="70" t="s">
        <v>243</v>
      </c>
      <c r="C7" s="83" t="s">
        <v>244</v>
      </c>
      <c r="D7" s="77" t="s">
        <v>245</v>
      </c>
      <c r="F7" s="70" t="s">
        <v>244</v>
      </c>
      <c r="G7" s="84" t="s">
        <v>245</v>
      </c>
      <c r="I7" t="s">
        <v>242</v>
      </c>
      <c r="J7" s="65">
        <f>SLOPE(D9:D68,G9:G68)</f>
        <v>0.9659587343957049</v>
      </c>
    </row>
    <row r="8" spans="2:10" x14ac:dyDescent="0.35">
      <c r="B8" s="86"/>
      <c r="C8" s="87"/>
      <c r="F8" s="87"/>
      <c r="G8" s="85"/>
      <c r="J8" s="85"/>
    </row>
    <row r="9" spans="2:10" x14ac:dyDescent="0.35">
      <c r="B9" s="86">
        <v>44197</v>
      </c>
      <c r="C9" s="87">
        <v>2128.83</v>
      </c>
      <c r="D9" s="88"/>
      <c r="F9" s="88">
        <v>13634.6</v>
      </c>
      <c r="G9" s="88"/>
    </row>
    <row r="10" spans="2:10" x14ac:dyDescent="0.35">
      <c r="B10" s="86">
        <v>44198</v>
      </c>
      <c r="C10" s="87">
        <v>2004.85</v>
      </c>
      <c r="D10" s="88">
        <f>C10/C9-1</f>
        <v>-5.8238562966512086E-2</v>
      </c>
      <c r="F10" s="88">
        <v>14529.15</v>
      </c>
      <c r="G10" s="88">
        <f>F10/F9-1</f>
        <v>6.5608818740557018E-2</v>
      </c>
    </row>
    <row r="11" spans="2:10" x14ac:dyDescent="0.35">
      <c r="B11" s="86">
        <v>44199</v>
      </c>
      <c r="C11" s="87">
        <v>2286.42</v>
      </c>
      <c r="D11" s="88">
        <f t="shared" ref="D11:D65" si="0">C11/C10-1</f>
        <v>0.14044442227598086</v>
      </c>
      <c r="F11" s="88">
        <v>14690.7</v>
      </c>
      <c r="G11" s="88">
        <f t="shared" ref="G11:G68" si="1">F11/F10-1</f>
        <v>1.111902623346861E-2</v>
      </c>
    </row>
    <row r="12" spans="2:10" x14ac:dyDescent="0.35">
      <c r="B12" s="86">
        <v>44200</v>
      </c>
      <c r="C12" s="87">
        <v>2213.3200000000002</v>
      </c>
      <c r="D12" s="88">
        <f t="shared" si="0"/>
        <v>-3.1971378836784137E-2</v>
      </c>
      <c r="F12" s="88">
        <v>14631.1</v>
      </c>
      <c r="G12" s="88">
        <f t="shared" si="1"/>
        <v>-4.0569884348601315E-3</v>
      </c>
      <c r="I12" t="s">
        <v>246</v>
      </c>
    </row>
    <row r="13" spans="2:10" ht="15" thickBot="1" x14ac:dyDescent="0.4">
      <c r="B13" s="86">
        <v>44201</v>
      </c>
      <c r="C13" s="87">
        <v>2200.44</v>
      </c>
      <c r="D13" s="88">
        <f t="shared" si="0"/>
        <v>-5.8193121645311319E-3</v>
      </c>
      <c r="F13" s="88">
        <v>15582.8</v>
      </c>
      <c r="G13" s="88">
        <f t="shared" si="1"/>
        <v>6.5046373820150105E-2</v>
      </c>
    </row>
    <row r="14" spans="2:10" x14ac:dyDescent="0.35">
      <c r="B14" s="86">
        <v>44202</v>
      </c>
      <c r="C14" s="87">
        <v>2340.67</v>
      </c>
      <c r="D14" s="88">
        <f>C14/C13-1</f>
        <v>6.3728163458217413E-2</v>
      </c>
      <c r="F14" s="88">
        <v>15721.5</v>
      </c>
      <c r="G14" s="88">
        <f>F14/F13-1</f>
        <v>8.9008393870164682E-3</v>
      </c>
      <c r="I14" s="89" t="s">
        <v>247</v>
      </c>
      <c r="J14" s="89"/>
    </row>
    <row r="15" spans="2:10" x14ac:dyDescent="0.35">
      <c r="B15" s="86">
        <v>44203</v>
      </c>
      <c r="C15" s="87">
        <v>2209.96</v>
      </c>
      <c r="D15" s="88">
        <f t="shared" si="0"/>
        <v>-5.5842985128189859E-2</v>
      </c>
      <c r="F15" s="88">
        <v>15763.05</v>
      </c>
      <c r="G15" s="88">
        <f t="shared" si="1"/>
        <v>2.6428775880162902E-3</v>
      </c>
      <c r="I15" t="s">
        <v>248</v>
      </c>
      <c r="J15">
        <v>0.59361327860931346</v>
      </c>
    </row>
    <row r="16" spans="2:10" x14ac:dyDescent="0.35">
      <c r="B16" s="86">
        <v>44204</v>
      </c>
      <c r="C16" s="87">
        <v>2580.11</v>
      </c>
      <c r="D16" s="88">
        <f t="shared" si="0"/>
        <v>0.1674917193071368</v>
      </c>
      <c r="F16" s="88">
        <v>17132.2</v>
      </c>
      <c r="G16" s="88">
        <f t="shared" si="1"/>
        <v>8.6858190515160638E-2</v>
      </c>
      <c r="I16" t="s">
        <v>249</v>
      </c>
      <c r="J16">
        <v>0.35237672454129843</v>
      </c>
    </row>
    <row r="17" spans="2:17" x14ac:dyDescent="0.35">
      <c r="B17" s="86">
        <v>44205</v>
      </c>
      <c r="C17" s="87">
        <v>2558.98</v>
      </c>
      <c r="D17" s="88">
        <f t="shared" si="0"/>
        <v>-8.1895733127658188E-3</v>
      </c>
      <c r="F17" s="88">
        <v>17618.150000000001</v>
      </c>
      <c r="G17" s="88">
        <f t="shared" si="1"/>
        <v>2.8364716732235173E-2</v>
      </c>
      <c r="I17" t="s">
        <v>250</v>
      </c>
      <c r="J17">
        <v>0.34101491269114581</v>
      </c>
    </row>
    <row r="18" spans="2:17" x14ac:dyDescent="0.35">
      <c r="B18" s="86">
        <v>44206</v>
      </c>
      <c r="C18" s="87">
        <v>2280.58</v>
      </c>
      <c r="D18" s="88">
        <f t="shared" si="0"/>
        <v>-0.10879334734933455</v>
      </c>
      <c r="F18" s="88">
        <v>17671.650000000001</v>
      </c>
      <c r="G18" s="88">
        <f t="shared" si="1"/>
        <v>3.0366411910445201E-3</v>
      </c>
      <c r="I18" t="s">
        <v>251</v>
      </c>
      <c r="J18">
        <v>4.9497345230777257E-2</v>
      </c>
    </row>
    <row r="19" spans="2:17" ht="15" thickBot="1" x14ac:dyDescent="0.4">
      <c r="B19" s="86">
        <v>44207</v>
      </c>
      <c r="C19" s="87">
        <v>2208.54</v>
      </c>
      <c r="D19" s="88">
        <f t="shared" si="0"/>
        <v>-3.1588455568320351E-2</v>
      </c>
      <c r="F19" s="88">
        <v>16983.2</v>
      </c>
      <c r="G19" s="88">
        <f t="shared" si="1"/>
        <v>-3.8957878862471818E-2</v>
      </c>
      <c r="I19" s="90" t="s">
        <v>252</v>
      </c>
      <c r="J19" s="90">
        <v>59</v>
      </c>
    </row>
    <row r="20" spans="2:17" x14ac:dyDescent="0.35">
      <c r="B20" s="86">
        <v>44208</v>
      </c>
      <c r="C20" s="87">
        <v>2249.14</v>
      </c>
      <c r="D20" s="88">
        <f t="shared" si="0"/>
        <v>1.8383185271718006E-2</v>
      </c>
      <c r="F20" s="88">
        <v>17354.05</v>
      </c>
      <c r="G20" s="88">
        <f t="shared" si="1"/>
        <v>2.1836285270149247E-2</v>
      </c>
    </row>
    <row r="21" spans="2:17" ht="15" thickBot="1" x14ac:dyDescent="0.4">
      <c r="B21" s="86">
        <v>44562</v>
      </c>
      <c r="C21" s="87">
        <v>2380</v>
      </c>
      <c r="D21" s="88">
        <f t="shared" si="0"/>
        <v>5.8182238544510323E-2</v>
      </c>
      <c r="F21" s="88">
        <v>17339.849999999999</v>
      </c>
      <c r="G21" s="88">
        <f t="shared" si="1"/>
        <v>-8.1825279977876253E-4</v>
      </c>
      <c r="I21" t="s">
        <v>253</v>
      </c>
    </row>
    <row r="22" spans="2:17" x14ac:dyDescent="0.35">
      <c r="B22" s="86">
        <v>44563</v>
      </c>
      <c r="C22" s="87">
        <v>2310</v>
      </c>
      <c r="D22" s="88">
        <f t="shared" si="0"/>
        <v>-2.9411764705882359E-2</v>
      </c>
      <c r="F22" s="88">
        <v>16793.900000000001</v>
      </c>
      <c r="G22" s="88">
        <f t="shared" si="1"/>
        <v>-3.1485278131010208E-2</v>
      </c>
      <c r="I22" s="91"/>
      <c r="J22" s="91" t="s">
        <v>254</v>
      </c>
      <c r="K22" s="91" t="s">
        <v>255</v>
      </c>
      <c r="L22" s="91" t="s">
        <v>256</v>
      </c>
      <c r="M22" s="91" t="s">
        <v>257</v>
      </c>
      <c r="N22" s="91" t="s">
        <v>258</v>
      </c>
    </row>
    <row r="23" spans="2:17" x14ac:dyDescent="0.35">
      <c r="B23" s="86">
        <v>44564</v>
      </c>
      <c r="C23" s="87">
        <v>2215</v>
      </c>
      <c r="D23" s="88">
        <f t="shared" si="0"/>
        <v>-4.1125541125541121E-2</v>
      </c>
      <c r="F23" s="88">
        <v>17464.75</v>
      </c>
      <c r="G23" s="88">
        <f t="shared" si="1"/>
        <v>3.9946051840251462E-2</v>
      </c>
      <c r="I23" t="s">
        <v>259</v>
      </c>
      <c r="J23">
        <v>1</v>
      </c>
      <c r="K23">
        <v>7.598422423882753E-2</v>
      </c>
      <c r="L23">
        <v>7.598422423882753E-2</v>
      </c>
      <c r="M23">
        <v>31.014131301299781</v>
      </c>
      <c r="N23">
        <v>7.2218178098774399E-7</v>
      </c>
    </row>
    <row r="24" spans="2:17" x14ac:dyDescent="0.35">
      <c r="B24" s="86">
        <v>44565</v>
      </c>
      <c r="C24" s="87">
        <v>2285</v>
      </c>
      <c r="D24" s="88">
        <f t="shared" si="0"/>
        <v>3.1602708803611712E-2</v>
      </c>
      <c r="F24" s="88">
        <v>17102.55</v>
      </c>
      <c r="G24" s="88">
        <f t="shared" si="1"/>
        <v>-2.0738916961307807E-2</v>
      </c>
      <c r="I24" t="s">
        <v>260</v>
      </c>
      <c r="J24">
        <v>57</v>
      </c>
      <c r="K24">
        <v>0.13964926953900061</v>
      </c>
      <c r="L24">
        <v>2.4499871848947478E-3</v>
      </c>
    </row>
    <row r="25" spans="2:17" ht="15" thickBot="1" x14ac:dyDescent="0.4">
      <c r="B25" s="86">
        <v>44566</v>
      </c>
      <c r="C25" s="87">
        <v>2260</v>
      </c>
      <c r="D25" s="88">
        <f t="shared" si="0"/>
        <v>-1.0940919037199071E-2</v>
      </c>
      <c r="F25" s="88">
        <v>16584.55</v>
      </c>
      <c r="G25" s="88">
        <f t="shared" si="1"/>
        <v>-3.0287881046978327E-2</v>
      </c>
      <c r="I25" s="90" t="s">
        <v>12</v>
      </c>
      <c r="J25" s="90">
        <v>58</v>
      </c>
      <c r="K25" s="90">
        <v>0.21563349377782814</v>
      </c>
      <c r="L25" s="90"/>
      <c r="M25" s="90"/>
      <c r="N25" s="90"/>
    </row>
    <row r="26" spans="2:17" ht="15" thickBot="1" x14ac:dyDescent="0.4">
      <c r="B26" s="86">
        <v>44567</v>
      </c>
      <c r="C26" s="87">
        <v>2170</v>
      </c>
      <c r="D26" s="88">
        <f t="shared" si="0"/>
        <v>-3.9823008849557473E-2</v>
      </c>
      <c r="F26" s="88">
        <v>15780.25</v>
      </c>
      <c r="G26" s="88">
        <f t="shared" si="1"/>
        <v>-4.8496944445281853E-2</v>
      </c>
    </row>
    <row r="27" spans="2:17" x14ac:dyDescent="0.35">
      <c r="B27" s="86">
        <v>44568</v>
      </c>
      <c r="C27" s="87">
        <v>2560</v>
      </c>
      <c r="D27" s="88">
        <f t="shared" si="0"/>
        <v>0.17972350230414746</v>
      </c>
      <c r="F27" s="88">
        <v>17158.25</v>
      </c>
      <c r="G27" s="88">
        <f t="shared" si="1"/>
        <v>8.7324345305048956E-2</v>
      </c>
      <c r="I27" s="91"/>
      <c r="J27" s="91" t="s">
        <v>261</v>
      </c>
      <c r="K27" s="91" t="s">
        <v>251</v>
      </c>
      <c r="L27" s="91" t="s">
        <v>262</v>
      </c>
      <c r="M27" s="91" t="s">
        <v>263</v>
      </c>
      <c r="N27" s="91" t="s">
        <v>264</v>
      </c>
      <c r="O27" s="91" t="s">
        <v>265</v>
      </c>
      <c r="P27" s="91" t="s">
        <v>266</v>
      </c>
      <c r="Q27" s="91" t="s">
        <v>267</v>
      </c>
    </row>
    <row r="28" spans="2:17" x14ac:dyDescent="0.35">
      <c r="B28" s="86">
        <v>44569</v>
      </c>
      <c r="C28" s="87">
        <v>2655</v>
      </c>
      <c r="D28" s="88">
        <f t="shared" si="0"/>
        <v>3.7109375E-2</v>
      </c>
      <c r="F28" s="88">
        <v>17759.3</v>
      </c>
      <c r="G28" s="88">
        <f t="shared" si="1"/>
        <v>3.5029796162195925E-2</v>
      </c>
      <c r="I28" t="s">
        <v>268</v>
      </c>
      <c r="J28">
        <v>-7.5633113818854838E-3</v>
      </c>
      <c r="K28">
        <v>6.7836820864748603E-3</v>
      </c>
      <c r="L28">
        <v>-1.1149271568850536</v>
      </c>
      <c r="M28">
        <v>0.26956047121564219</v>
      </c>
      <c r="N28">
        <v>-2.1147400446862537E-2</v>
      </c>
      <c r="O28">
        <v>6.02077768309157E-3</v>
      </c>
      <c r="P28">
        <v>-2.1147400446862537E-2</v>
      </c>
      <c r="Q28">
        <v>6.02077768309157E-3</v>
      </c>
    </row>
    <row r="29" spans="2:17" ht="15" thickBot="1" x14ac:dyDescent="0.4">
      <c r="B29" s="86">
        <v>44570</v>
      </c>
      <c r="C29" s="87">
        <v>2575</v>
      </c>
      <c r="D29" s="88">
        <f t="shared" si="0"/>
        <v>-3.0131826741996215E-2</v>
      </c>
      <c r="F29" s="88">
        <v>17094.349999999999</v>
      </c>
      <c r="G29" s="88">
        <f t="shared" si="1"/>
        <v>-3.7442354146841383E-2</v>
      </c>
      <c r="I29" s="90" t="s">
        <v>269</v>
      </c>
      <c r="J29" s="90">
        <v>1.0079257958157166</v>
      </c>
      <c r="K29" s="90">
        <v>0.18098757022830939</v>
      </c>
      <c r="L29" s="90">
        <v>5.5690332465608225</v>
      </c>
      <c r="M29" s="90">
        <v>7.2218178098774399E-7</v>
      </c>
      <c r="N29" s="90">
        <v>0.64550443787252176</v>
      </c>
      <c r="O29" s="90">
        <v>1.3703471537589116</v>
      </c>
      <c r="P29" s="90">
        <v>0.64550443787252176</v>
      </c>
      <c r="Q29" s="90">
        <v>1.3703471537589116</v>
      </c>
    </row>
    <row r="30" spans="2:17" x14ac:dyDescent="0.35">
      <c r="B30" s="86">
        <v>44571</v>
      </c>
      <c r="C30" s="87">
        <v>2590</v>
      </c>
      <c r="D30" s="88">
        <f t="shared" si="0"/>
        <v>5.8252427184466438E-3</v>
      </c>
      <c r="F30" s="88">
        <v>18012.2</v>
      </c>
      <c r="G30" s="88">
        <f t="shared" si="1"/>
        <v>5.3693179325332796E-2</v>
      </c>
    </row>
    <row r="31" spans="2:17" x14ac:dyDescent="0.35">
      <c r="B31" s="86">
        <v>44572</v>
      </c>
      <c r="C31" s="87">
        <v>2680</v>
      </c>
      <c r="D31" s="88">
        <f t="shared" si="0"/>
        <v>3.474903474903468E-2</v>
      </c>
      <c r="F31" s="88">
        <v>18758.349999999999</v>
      </c>
      <c r="G31" s="88">
        <f t="shared" si="1"/>
        <v>4.1424701035964295E-2</v>
      </c>
    </row>
    <row r="32" spans="2:17" x14ac:dyDescent="0.35">
      <c r="B32" s="86">
        <v>44573</v>
      </c>
      <c r="C32" s="87">
        <v>2559</v>
      </c>
      <c r="D32" s="88">
        <f t="shared" si="0"/>
        <v>-4.5149253731343264E-2</v>
      </c>
      <c r="F32" s="88">
        <v>18105.3</v>
      </c>
      <c r="G32" s="88">
        <f t="shared" si="1"/>
        <v>-3.4813829574562805E-2</v>
      </c>
    </row>
    <row r="33" spans="2:7" x14ac:dyDescent="0.35">
      <c r="B33" s="86">
        <v>44927</v>
      </c>
      <c r="C33" s="87">
        <v>2585</v>
      </c>
      <c r="D33" s="88">
        <f t="shared" si="0"/>
        <v>1.0160218835482571E-2</v>
      </c>
      <c r="F33" s="88">
        <v>17662</v>
      </c>
      <c r="G33" s="88">
        <f t="shared" si="1"/>
        <v>-2.448454320005744E-2</v>
      </c>
    </row>
    <row r="34" spans="2:7" x14ac:dyDescent="0.35">
      <c r="B34" s="86">
        <v>44928</v>
      </c>
      <c r="C34" s="87">
        <v>2490</v>
      </c>
      <c r="D34" s="88">
        <f t="shared" si="0"/>
        <v>-3.675048355899424E-2</v>
      </c>
      <c r="F34" s="88">
        <v>17303</v>
      </c>
      <c r="G34" s="88">
        <f t="shared" si="1"/>
        <v>-2.0326123881780123E-2</v>
      </c>
    </row>
    <row r="35" spans="2:7" x14ac:dyDescent="0.35">
      <c r="B35" s="86">
        <v>44929</v>
      </c>
      <c r="C35" s="87">
        <v>2480</v>
      </c>
      <c r="D35" s="88">
        <f t="shared" si="0"/>
        <v>-4.0160642570281624E-3</v>
      </c>
      <c r="F35" s="88">
        <v>17359</v>
      </c>
      <c r="G35" s="88">
        <f t="shared" si="1"/>
        <v>3.2364329884990717E-3</v>
      </c>
    </row>
    <row r="36" spans="2:7" x14ac:dyDescent="0.35">
      <c r="B36" s="86">
        <v>44930</v>
      </c>
      <c r="C36" s="87">
        <v>2455</v>
      </c>
      <c r="D36" s="88">
        <f t="shared" si="0"/>
        <v>-1.0080645161290369E-2</v>
      </c>
      <c r="F36" s="88">
        <v>18065</v>
      </c>
      <c r="G36" s="88">
        <f t="shared" si="1"/>
        <v>4.0670545538337377E-2</v>
      </c>
    </row>
    <row r="37" spans="2:7" x14ac:dyDescent="0.35">
      <c r="B37" s="86">
        <v>44931</v>
      </c>
      <c r="C37" s="87">
        <v>2525</v>
      </c>
      <c r="D37" s="88">
        <f t="shared" si="0"/>
        <v>2.8513238289205711E-2</v>
      </c>
      <c r="F37" s="88">
        <v>18534</v>
      </c>
      <c r="G37" s="88">
        <f t="shared" si="1"/>
        <v>2.5961804594519799E-2</v>
      </c>
    </row>
    <row r="38" spans="2:7" x14ac:dyDescent="0.35">
      <c r="B38" s="86">
        <v>44932</v>
      </c>
      <c r="C38" s="87">
        <v>2580</v>
      </c>
      <c r="D38" s="88">
        <f t="shared" si="0"/>
        <v>2.1782178217821802E-2</v>
      </c>
      <c r="F38" s="88">
        <v>19189</v>
      </c>
      <c r="G38" s="88">
        <f t="shared" si="1"/>
        <v>3.534045537930286E-2</v>
      </c>
    </row>
    <row r="39" spans="2:7" x14ac:dyDescent="0.35">
      <c r="B39" s="86">
        <v>44933</v>
      </c>
      <c r="C39" s="87">
        <v>2650</v>
      </c>
      <c r="D39" s="88">
        <f t="shared" si="0"/>
        <v>2.7131782945736482E-2</v>
      </c>
      <c r="F39" s="88">
        <v>19753</v>
      </c>
      <c r="G39" s="88">
        <f t="shared" si="1"/>
        <v>2.939183907446985E-2</v>
      </c>
    </row>
    <row r="40" spans="2:7" x14ac:dyDescent="0.35">
      <c r="B40" s="86">
        <v>44934</v>
      </c>
      <c r="C40" s="87">
        <v>2685</v>
      </c>
      <c r="D40" s="88">
        <f t="shared" si="0"/>
        <v>1.3207547169811429E-2</v>
      </c>
      <c r="F40" s="88">
        <v>19254</v>
      </c>
      <c r="G40" s="88">
        <f t="shared" si="1"/>
        <v>-2.5261985521186636E-2</v>
      </c>
    </row>
    <row r="41" spans="2:7" x14ac:dyDescent="0.35">
      <c r="B41" s="86">
        <v>44935</v>
      </c>
      <c r="C41" s="87">
        <v>2665</v>
      </c>
      <c r="D41" s="88">
        <f t="shared" si="0"/>
        <v>-7.4487895716945918E-3</v>
      </c>
      <c r="F41" s="88">
        <v>19638</v>
      </c>
      <c r="G41" s="88">
        <f t="shared" si="1"/>
        <v>1.994390775942656E-2</v>
      </c>
    </row>
    <row r="42" spans="2:7" x14ac:dyDescent="0.35">
      <c r="B42" s="86">
        <v>44936</v>
      </c>
      <c r="C42" s="87">
        <v>2615</v>
      </c>
      <c r="D42" s="88">
        <f t="shared" si="0"/>
        <v>-1.8761726078799223E-2</v>
      </c>
      <c r="F42" s="88">
        <v>19079</v>
      </c>
      <c r="G42" s="88">
        <f t="shared" si="1"/>
        <v>-2.8465220490885068E-2</v>
      </c>
    </row>
    <row r="43" spans="2:7" x14ac:dyDescent="0.35">
      <c r="B43" s="86">
        <v>44937</v>
      </c>
      <c r="C43" s="87">
        <v>2575</v>
      </c>
      <c r="D43" s="88">
        <f t="shared" si="0"/>
        <v>-1.5296367112810683E-2</v>
      </c>
      <c r="F43" s="88">
        <v>20134</v>
      </c>
      <c r="G43" s="88">
        <f t="shared" si="1"/>
        <v>5.5296399182347189E-2</v>
      </c>
    </row>
    <row r="44" spans="2:7" x14ac:dyDescent="0.35">
      <c r="B44" s="86">
        <v>44938</v>
      </c>
      <c r="C44" s="87">
        <v>2663</v>
      </c>
      <c r="D44" s="88">
        <f t="shared" si="0"/>
        <v>3.4174757281553392E-2</v>
      </c>
      <c r="F44" s="88">
        <v>21731</v>
      </c>
      <c r="G44" s="88">
        <f t="shared" si="1"/>
        <v>7.9318565610410285E-2</v>
      </c>
    </row>
    <row r="45" spans="2:7" x14ac:dyDescent="0.35">
      <c r="B45" s="86">
        <v>45292</v>
      </c>
      <c r="C45" s="87">
        <v>2495</v>
      </c>
      <c r="D45" s="88">
        <f t="shared" si="0"/>
        <v>-6.3086744273375905E-2</v>
      </c>
      <c r="F45" s="88">
        <v>21853</v>
      </c>
      <c r="G45" s="88">
        <f t="shared" si="1"/>
        <v>5.6140996732778614E-3</v>
      </c>
    </row>
    <row r="46" spans="2:7" x14ac:dyDescent="0.35">
      <c r="B46" s="86">
        <v>45293</v>
      </c>
      <c r="C46" s="87">
        <v>2405</v>
      </c>
      <c r="D46" s="88">
        <f t="shared" si="0"/>
        <v>-3.607214428857719E-2</v>
      </c>
      <c r="F46" s="88">
        <v>22378</v>
      </c>
      <c r="G46" s="88">
        <f t="shared" si="1"/>
        <v>2.4024161442364855E-2</v>
      </c>
    </row>
    <row r="47" spans="2:7" x14ac:dyDescent="0.35">
      <c r="B47" s="86">
        <v>45294</v>
      </c>
      <c r="C47" s="87">
        <v>2280</v>
      </c>
      <c r="D47" s="88">
        <f t="shared" si="0"/>
        <v>-5.1975051975051922E-2</v>
      </c>
      <c r="F47" s="88">
        <v>22327</v>
      </c>
      <c r="G47" s="88">
        <f t="shared" si="1"/>
        <v>-2.2790240414692908E-3</v>
      </c>
    </row>
    <row r="48" spans="2:7" x14ac:dyDescent="0.35">
      <c r="B48" s="86">
        <v>45295</v>
      </c>
      <c r="C48" s="87">
        <v>2144.29</v>
      </c>
      <c r="D48" s="88">
        <f t="shared" si="0"/>
        <v>-5.9521929824561393E-2</v>
      </c>
      <c r="F48" s="88">
        <v>22605</v>
      </c>
      <c r="G48" s="88">
        <f t="shared" si="1"/>
        <v>1.2451292157477534E-2</v>
      </c>
    </row>
    <row r="49" spans="2:7" x14ac:dyDescent="0.35">
      <c r="B49" s="86">
        <v>45296</v>
      </c>
      <c r="C49" s="87">
        <v>2239.08</v>
      </c>
      <c r="D49" s="88">
        <f t="shared" si="0"/>
        <v>4.4205774405514209E-2</v>
      </c>
      <c r="F49" s="88">
        <v>22530</v>
      </c>
      <c r="G49" s="88">
        <f t="shared" si="1"/>
        <v>-3.3178500331785266E-3</v>
      </c>
    </row>
    <row r="50" spans="2:7" x14ac:dyDescent="0.35">
      <c r="B50" s="86">
        <v>45297</v>
      </c>
      <c r="C50" s="87">
        <v>2400.3000000000002</v>
      </c>
      <c r="D50" s="88">
        <f t="shared" si="0"/>
        <v>7.2002786858888612E-2</v>
      </c>
      <c r="F50" s="88">
        <v>24010</v>
      </c>
      <c r="G50" s="88">
        <f t="shared" si="1"/>
        <v>6.5690190856635633E-2</v>
      </c>
    </row>
    <row r="51" spans="2:7" x14ac:dyDescent="0.35">
      <c r="B51" s="86">
        <v>45298</v>
      </c>
      <c r="C51" s="87">
        <v>2626.05</v>
      </c>
      <c r="D51" s="88">
        <f t="shared" si="0"/>
        <v>9.4050743657042801E-2</v>
      </c>
      <c r="F51" s="88">
        <v>24835</v>
      </c>
      <c r="G51" s="88">
        <f t="shared" si="1"/>
        <v>3.4360683048729745E-2</v>
      </c>
    </row>
    <row r="52" spans="2:7" x14ac:dyDescent="0.35">
      <c r="B52" s="86">
        <v>45299</v>
      </c>
      <c r="C52" s="87">
        <v>2696.28</v>
      </c>
      <c r="D52" s="88">
        <f t="shared" si="0"/>
        <v>2.6743588278974162E-2</v>
      </c>
      <c r="F52" s="88">
        <v>25235</v>
      </c>
      <c r="G52" s="88">
        <f t="shared" si="1"/>
        <v>1.6106301590497196E-2</v>
      </c>
    </row>
    <row r="53" spans="2:7" x14ac:dyDescent="0.35">
      <c r="B53" s="86">
        <v>45300</v>
      </c>
      <c r="C53" s="87">
        <v>2871.27</v>
      </c>
      <c r="D53" s="88">
        <f t="shared" si="0"/>
        <v>6.4900529618585612E-2</v>
      </c>
      <c r="F53" s="88">
        <v>26129</v>
      </c>
      <c r="G53" s="88">
        <f t="shared" si="1"/>
        <v>3.5426986328511934E-2</v>
      </c>
    </row>
    <row r="54" spans="2:7" x14ac:dyDescent="0.35">
      <c r="B54" s="86">
        <v>45301</v>
      </c>
      <c r="C54" s="87">
        <v>2453.87</v>
      </c>
      <c r="D54" s="88">
        <f t="shared" si="0"/>
        <v>-0.14537121204205805</v>
      </c>
      <c r="F54" s="88">
        <v>24205</v>
      </c>
      <c r="G54" s="88">
        <f t="shared" si="1"/>
        <v>-7.3634658808220732E-2</v>
      </c>
    </row>
    <row r="55" spans="2:7" x14ac:dyDescent="0.35">
      <c r="B55" s="86">
        <v>45302</v>
      </c>
      <c r="C55" s="87">
        <v>2450.91</v>
      </c>
      <c r="D55" s="88">
        <f t="shared" si="0"/>
        <v>-1.2062578702213278E-3</v>
      </c>
      <c r="F55" s="88">
        <v>24123</v>
      </c>
      <c r="G55" s="88">
        <f t="shared" si="1"/>
        <v>-3.3877298078909268E-3</v>
      </c>
    </row>
    <row r="56" spans="2:7" x14ac:dyDescent="0.35">
      <c r="B56" s="86">
        <v>45303</v>
      </c>
      <c r="C56" s="87">
        <v>2284.6799999999998</v>
      </c>
      <c r="D56" s="88">
        <f t="shared" si="0"/>
        <v>-6.7823787899188526E-2</v>
      </c>
      <c r="F56" s="88">
        <v>23644</v>
      </c>
      <c r="G56" s="88">
        <f t="shared" si="1"/>
        <v>-1.985656842017991E-2</v>
      </c>
    </row>
    <row r="57" spans="2:7" x14ac:dyDescent="0.35">
      <c r="B57" s="86">
        <v>45658</v>
      </c>
      <c r="C57" s="87">
        <v>2424.0500000000002</v>
      </c>
      <c r="D57" s="88">
        <f t="shared" si="0"/>
        <v>6.1001978395224032E-2</v>
      </c>
      <c r="F57" s="88">
        <v>23482</v>
      </c>
      <c r="G57" s="88">
        <f t="shared" si="1"/>
        <v>-6.8516325494840657E-3</v>
      </c>
    </row>
    <row r="58" spans="2:7" x14ac:dyDescent="0.35">
      <c r="B58" s="86">
        <v>45659</v>
      </c>
      <c r="C58" s="87">
        <v>2150.5500000000002</v>
      </c>
      <c r="D58" s="88">
        <f>C58/C57-1</f>
        <v>-0.11282770569913991</v>
      </c>
      <c r="F58" s="88">
        <v>22124</v>
      </c>
      <c r="G58" s="88">
        <f t="shared" si="1"/>
        <v>-5.783153053402601E-2</v>
      </c>
    </row>
    <row r="59" spans="2:7" x14ac:dyDescent="0.35">
      <c r="B59" s="86">
        <v>45660</v>
      </c>
      <c r="C59" s="87">
        <v>2217.91</v>
      </c>
      <c r="D59" s="88">
        <f t="shared" si="0"/>
        <v>3.1322219897235382E-2</v>
      </c>
      <c r="F59" s="88">
        <v>23658</v>
      </c>
      <c r="G59" s="88">
        <f t="shared" si="1"/>
        <v>6.9336467184957451E-2</v>
      </c>
    </row>
    <row r="60" spans="2:7" x14ac:dyDescent="0.35">
      <c r="B60" s="86">
        <v>45661</v>
      </c>
      <c r="C60" s="87">
        <v>2299.65</v>
      </c>
      <c r="D60" s="88">
        <f t="shared" si="0"/>
        <v>3.6854516188664199E-2</v>
      </c>
      <c r="F60" s="88">
        <v>24378</v>
      </c>
      <c r="G60" s="88">
        <f t="shared" si="1"/>
        <v>3.0433679939132707E-2</v>
      </c>
    </row>
    <row r="61" spans="2:7" x14ac:dyDescent="0.35">
      <c r="B61" s="86">
        <v>45662</v>
      </c>
      <c r="C61" s="87">
        <v>2305.7399999999998</v>
      </c>
      <c r="D61" s="88">
        <f t="shared" si="0"/>
        <v>2.6482290783378382E-3</v>
      </c>
      <c r="F61" s="88">
        <v>24612</v>
      </c>
      <c r="G61" s="88">
        <f t="shared" si="1"/>
        <v>9.5988186069406733E-3</v>
      </c>
    </row>
    <row r="62" spans="2:7" x14ac:dyDescent="0.35">
      <c r="B62" s="86">
        <v>45663</v>
      </c>
      <c r="C62" s="87">
        <v>2276.6999999999998</v>
      </c>
      <c r="D62" s="88">
        <f t="shared" si="0"/>
        <v>-1.2594655078196126E-2</v>
      </c>
      <c r="F62" s="88">
        <v>25117</v>
      </c>
      <c r="G62" s="88">
        <f t="shared" si="1"/>
        <v>2.0518446286364345E-2</v>
      </c>
    </row>
    <row r="63" spans="2:7" x14ac:dyDescent="0.35">
      <c r="B63" s="86">
        <v>45664</v>
      </c>
      <c r="C63" s="87">
        <v>2501.54</v>
      </c>
      <c r="D63" s="88">
        <f>C63/C62-1</f>
        <v>9.8756972811525623E-2</v>
      </c>
      <c r="F63" s="88">
        <v>25784</v>
      </c>
      <c r="G63" s="88">
        <f t="shared" si="1"/>
        <v>2.655571923398492E-2</v>
      </c>
    </row>
    <row r="64" spans="2:7" x14ac:dyDescent="0.35">
      <c r="B64" s="86">
        <v>45665</v>
      </c>
      <c r="C64" s="87">
        <v>2639.05</v>
      </c>
      <c r="D64" s="88">
        <f t="shared" si="0"/>
        <v>5.4970138394748957E-2</v>
      </c>
      <c r="F64" s="88">
        <v>26423</v>
      </c>
      <c r="G64" s="88">
        <f t="shared" si="1"/>
        <v>2.4782811045609643E-2</v>
      </c>
    </row>
    <row r="65" spans="2:7" x14ac:dyDescent="0.35">
      <c r="B65" s="86">
        <v>45666</v>
      </c>
      <c r="C65" s="87">
        <v>2494.79</v>
      </c>
      <c r="D65" s="88">
        <f t="shared" si="0"/>
        <v>-5.4663610011178365E-2</v>
      </c>
      <c r="F65" s="88">
        <v>26129</v>
      </c>
      <c r="G65" s="88">
        <f t="shared" si="1"/>
        <v>-1.1126669946637358E-2</v>
      </c>
    </row>
    <row r="66" spans="2:7" x14ac:dyDescent="0.35">
      <c r="B66" s="86">
        <v>45667</v>
      </c>
      <c r="C66" s="87">
        <v>2465.5</v>
      </c>
      <c r="D66" s="88">
        <f>C66/C65-1</f>
        <v>-1.1740467133506183E-2</v>
      </c>
      <c r="F66" s="88">
        <v>25964</v>
      </c>
      <c r="G66" s="88">
        <f t="shared" si="1"/>
        <v>-6.3148226108921124E-3</v>
      </c>
    </row>
    <row r="67" spans="2:7" x14ac:dyDescent="0.35">
      <c r="B67" s="86">
        <v>45668</v>
      </c>
      <c r="C67" s="87">
        <v>2426.33</v>
      </c>
      <c r="D67" s="88">
        <f>C67/C66-1</f>
        <v>-1.5887243966741016E-2</v>
      </c>
      <c r="F67" s="88">
        <v>26031</v>
      </c>
      <c r="G67" s="88">
        <f t="shared" si="1"/>
        <v>2.5804960714836955E-3</v>
      </c>
    </row>
    <row r="68" spans="2:7" x14ac:dyDescent="0.35">
      <c r="B68" s="86">
        <v>45669</v>
      </c>
      <c r="C68" s="87">
        <v>2315.9</v>
      </c>
      <c r="D68" s="88">
        <f>C68/C67-1</f>
        <v>-4.5513182460753421E-2</v>
      </c>
      <c r="F68" s="88">
        <v>26129</v>
      </c>
      <c r="G68" s="88">
        <f t="shared" si="1"/>
        <v>3.7647420383388752E-3</v>
      </c>
    </row>
  </sheetData>
  <mergeCells count="3">
    <mergeCell ref="B5:C5"/>
    <mergeCell ref="F5:G5"/>
    <mergeCell ref="I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BEC3-07C1-4060-9CA7-3AEE3F269CF3}">
  <dimension ref="B3:G8"/>
  <sheetViews>
    <sheetView workbookViewId="0">
      <selection activeCell="G11" sqref="G11"/>
    </sheetView>
  </sheetViews>
  <sheetFormatPr defaultRowHeight="14.5" x14ac:dyDescent="0.35"/>
  <cols>
    <col min="1" max="1" width="1.81640625" customWidth="1"/>
    <col min="2" max="2" width="4.90625" bestFit="1" customWidth="1"/>
    <col min="3" max="3" width="14.81640625" bestFit="1" customWidth="1"/>
    <col min="4" max="4" width="7.81640625" bestFit="1" customWidth="1"/>
    <col min="5" max="5" width="8.36328125" bestFit="1" customWidth="1"/>
    <col min="6" max="6" width="9.81640625" bestFit="1" customWidth="1"/>
    <col min="7" max="7" width="7.81640625" bestFit="1" customWidth="1"/>
  </cols>
  <sheetData>
    <row r="3" spans="2:7" x14ac:dyDescent="0.35">
      <c r="B3" s="153" t="s">
        <v>163</v>
      </c>
      <c r="C3" s="22" t="s">
        <v>164</v>
      </c>
      <c r="D3" s="22" t="s">
        <v>165</v>
      </c>
      <c r="E3" s="22" t="s">
        <v>166</v>
      </c>
      <c r="F3" s="22" t="s">
        <v>167</v>
      </c>
      <c r="G3" s="22" t="s">
        <v>168</v>
      </c>
    </row>
    <row r="4" spans="2:7" x14ac:dyDescent="0.35">
      <c r="B4" s="46">
        <v>1</v>
      </c>
      <c r="C4" t="s">
        <v>169</v>
      </c>
      <c r="D4">
        <v>2326</v>
      </c>
      <c r="E4">
        <v>0.04</v>
      </c>
      <c r="F4">
        <v>546550.21</v>
      </c>
      <c r="G4">
        <v>1775</v>
      </c>
    </row>
    <row r="5" spans="2:7" x14ac:dyDescent="0.35">
      <c r="B5" s="46">
        <v>2</v>
      </c>
      <c r="C5" t="s">
        <v>170</v>
      </c>
      <c r="D5">
        <v>332.5</v>
      </c>
      <c r="E5">
        <v>0.01</v>
      </c>
      <c r="F5">
        <v>416596.81</v>
      </c>
      <c r="G5">
        <v>362.97</v>
      </c>
    </row>
    <row r="6" spans="2:7" x14ac:dyDescent="0.35">
      <c r="B6" s="46">
        <v>3</v>
      </c>
      <c r="C6" t="s">
        <v>171</v>
      </c>
      <c r="D6">
        <v>1301.55</v>
      </c>
      <c r="E6">
        <v>0.1</v>
      </c>
      <c r="F6">
        <v>250989.48</v>
      </c>
      <c r="G6">
        <v>476.85</v>
      </c>
    </row>
    <row r="7" spans="2:7" x14ac:dyDescent="0.35">
      <c r="B7" s="46">
        <v>4</v>
      </c>
      <c r="C7" t="s">
        <v>172</v>
      </c>
      <c r="D7">
        <v>461.45</v>
      </c>
      <c r="E7">
        <v>0.13</v>
      </c>
      <c r="F7">
        <v>156135.31</v>
      </c>
      <c r="G7">
        <v>2508.19</v>
      </c>
    </row>
    <row r="8" spans="2:7" x14ac:dyDescent="0.35">
      <c r="B8" s="46">
        <v>5</v>
      </c>
      <c r="C8" t="s">
        <v>173</v>
      </c>
      <c r="D8">
        <v>6167.3</v>
      </c>
      <c r="E8">
        <v>0.59</v>
      </c>
      <c r="F8">
        <v>148496.07999999999</v>
      </c>
      <c r="G8">
        <v>2196.3000000000002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D8BF-6D67-4B8E-9760-FB01C5477AD4}">
  <dimension ref="B2:G30"/>
  <sheetViews>
    <sheetView showGridLines="0" workbookViewId="0">
      <selection activeCell="K18" sqref="K18"/>
    </sheetView>
  </sheetViews>
  <sheetFormatPr defaultRowHeight="14.5" x14ac:dyDescent="0.35"/>
  <cols>
    <col min="1" max="1" width="1.81640625" customWidth="1"/>
  </cols>
  <sheetData>
    <row r="2" spans="2:7" x14ac:dyDescent="0.35">
      <c r="B2" s="168" t="s">
        <v>236</v>
      </c>
      <c r="C2" s="168"/>
    </row>
    <row r="4" spans="2:7" x14ac:dyDescent="0.35">
      <c r="B4" s="54" t="s">
        <v>156</v>
      </c>
      <c r="C4" s="54" t="s">
        <v>237</v>
      </c>
    </row>
    <row r="5" spans="2:7" x14ac:dyDescent="0.35">
      <c r="B5">
        <v>2000</v>
      </c>
      <c r="C5" s="55">
        <v>-0.14649999999999999</v>
      </c>
    </row>
    <row r="6" spans="2:7" x14ac:dyDescent="0.35">
      <c r="B6">
        <v>2001</v>
      </c>
      <c r="C6" s="55">
        <v>-0.1618</v>
      </c>
      <c r="E6" s="169" t="s">
        <v>238</v>
      </c>
      <c r="F6" s="169"/>
      <c r="G6" s="56">
        <f>AVERAGE(C5:C30)</f>
        <v>0.1514923076923077</v>
      </c>
    </row>
    <row r="7" spans="2:7" ht="16.5" x14ac:dyDescent="0.35">
      <c r="B7">
        <v>2002</v>
      </c>
      <c r="C7" s="55">
        <v>3.2500000000000001E-2</v>
      </c>
      <c r="E7" s="169" t="s">
        <v>239</v>
      </c>
      <c r="F7" s="169"/>
      <c r="G7" s="57" t="s">
        <v>315</v>
      </c>
    </row>
    <row r="8" spans="2:7" x14ac:dyDescent="0.35">
      <c r="B8">
        <v>2003</v>
      </c>
      <c r="C8" s="55">
        <v>0.71900000000000008</v>
      </c>
      <c r="E8" s="22" t="s">
        <v>240</v>
      </c>
      <c r="F8" s="22"/>
      <c r="G8" s="154">
        <f>SUM(G6:G7)</f>
        <v>0.1514923076923077</v>
      </c>
    </row>
    <row r="9" spans="2:7" x14ac:dyDescent="0.35">
      <c r="B9">
        <v>2004</v>
      </c>
      <c r="C9" s="55">
        <v>0.10679999999999999</v>
      </c>
    </row>
    <row r="10" spans="2:7" x14ac:dyDescent="0.35">
      <c r="B10">
        <v>2005</v>
      </c>
      <c r="C10" s="55">
        <v>0.36340000000000006</v>
      </c>
    </row>
    <row r="11" spans="2:7" x14ac:dyDescent="0.35">
      <c r="B11">
        <v>2006</v>
      </c>
      <c r="C11" s="55">
        <v>0.39829999999999999</v>
      </c>
    </row>
    <row r="12" spans="2:7" x14ac:dyDescent="0.35">
      <c r="B12">
        <v>2007</v>
      </c>
      <c r="C12" s="55">
        <v>0.54770000000000008</v>
      </c>
    </row>
    <row r="13" spans="2:7" x14ac:dyDescent="0.35">
      <c r="B13">
        <v>2008</v>
      </c>
      <c r="C13" s="55">
        <v>-0.51790000000000003</v>
      </c>
    </row>
    <row r="14" spans="2:7" x14ac:dyDescent="0.35">
      <c r="B14">
        <v>2009</v>
      </c>
      <c r="C14" s="55">
        <v>0.75760000000000005</v>
      </c>
    </row>
    <row r="15" spans="2:7" x14ac:dyDescent="0.35">
      <c r="B15">
        <v>2010</v>
      </c>
      <c r="C15" s="55">
        <v>0.17949999999999999</v>
      </c>
    </row>
    <row r="16" spans="2:7" x14ac:dyDescent="0.35">
      <c r="B16">
        <v>2011</v>
      </c>
      <c r="C16" s="55">
        <v>-0.2462</v>
      </c>
    </row>
    <row r="17" spans="2:7" x14ac:dyDescent="0.35">
      <c r="B17">
        <v>2012</v>
      </c>
      <c r="C17" s="55">
        <v>0.27699999999999997</v>
      </c>
      <c r="G17" t="s">
        <v>54</v>
      </c>
    </row>
    <row r="18" spans="2:7" x14ac:dyDescent="0.35">
      <c r="B18">
        <v>2013</v>
      </c>
      <c r="C18" s="55">
        <v>6.7599999999999993E-2</v>
      </c>
    </row>
    <row r="19" spans="2:7" x14ac:dyDescent="0.35">
      <c r="B19">
        <v>2014</v>
      </c>
      <c r="C19" s="55">
        <v>0.31390000000000001</v>
      </c>
    </row>
    <row r="20" spans="2:7" x14ac:dyDescent="0.35">
      <c r="B20">
        <v>2015</v>
      </c>
      <c r="C20" s="55">
        <v>-4.0599999999999997E-2</v>
      </c>
    </row>
    <row r="21" spans="2:7" x14ac:dyDescent="0.35">
      <c r="B21">
        <v>2016</v>
      </c>
      <c r="C21" s="55">
        <v>3.0099999999999998E-2</v>
      </c>
    </row>
    <row r="22" spans="2:7" x14ac:dyDescent="0.35">
      <c r="B22">
        <v>2017</v>
      </c>
      <c r="C22" s="55">
        <v>0.28649999999999998</v>
      </c>
    </row>
    <row r="23" spans="2:7" x14ac:dyDescent="0.35">
      <c r="B23">
        <v>2018</v>
      </c>
      <c r="C23" s="55">
        <v>3.15E-2</v>
      </c>
    </row>
    <row r="24" spans="2:7" x14ac:dyDescent="0.35">
      <c r="B24">
        <v>2019</v>
      </c>
      <c r="C24" s="55">
        <v>0.1202</v>
      </c>
    </row>
    <row r="25" spans="2:7" x14ac:dyDescent="0.35">
      <c r="B25">
        <v>2020</v>
      </c>
      <c r="C25" s="55">
        <v>0.14899999999999999</v>
      </c>
    </row>
    <row r="26" spans="2:7" x14ac:dyDescent="0.35">
      <c r="B26">
        <v>2021</v>
      </c>
      <c r="C26" s="55">
        <v>0.2412</v>
      </c>
    </row>
    <row r="27" spans="2:7" x14ac:dyDescent="0.35">
      <c r="B27">
        <v>2022</v>
      </c>
      <c r="C27" s="55">
        <v>4.3200000000000002E-2</v>
      </c>
    </row>
    <row r="28" spans="2:7" x14ac:dyDescent="0.35">
      <c r="B28">
        <v>2023</v>
      </c>
      <c r="C28" s="55">
        <v>0.19420000000000001</v>
      </c>
    </row>
    <row r="29" spans="2:7" x14ac:dyDescent="0.35">
      <c r="B29">
        <v>2024</v>
      </c>
      <c r="C29" s="55">
        <v>8.7499999999999994E-2</v>
      </c>
    </row>
    <row r="30" spans="2:7" x14ac:dyDescent="0.35">
      <c r="B30">
        <v>2025</v>
      </c>
      <c r="C30" s="55">
        <v>0.1051</v>
      </c>
    </row>
  </sheetData>
  <mergeCells count="3">
    <mergeCell ref="B2:C2"/>
    <mergeCell ref="E6:F6"/>
    <mergeCell ref="E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F9EA-972E-4570-9F1D-2C2FB0FD88E6}">
  <dimension ref="B2:L66"/>
  <sheetViews>
    <sheetView showGridLines="0" topLeftCell="A35" workbookViewId="0">
      <selection activeCell="G69" sqref="G69"/>
    </sheetView>
  </sheetViews>
  <sheetFormatPr defaultRowHeight="14.5" x14ac:dyDescent="0.35"/>
  <cols>
    <col min="1" max="1" width="1.81640625" customWidth="1"/>
    <col min="2" max="2" width="28.90625" bestFit="1" customWidth="1"/>
    <col min="6" max="7" width="9.08984375" bestFit="1" customWidth="1"/>
    <col min="8" max="8" width="8.90625" bestFit="1" customWidth="1"/>
    <col min="9" max="9" width="13.26953125" bestFit="1" customWidth="1"/>
    <col min="10" max="10" width="9.08984375" bestFit="1" customWidth="1"/>
    <col min="12" max="12" width="20" bestFit="1" customWidth="1"/>
  </cols>
  <sheetData>
    <row r="2" spans="2:10" x14ac:dyDescent="0.35">
      <c r="B2" s="92" t="s">
        <v>292</v>
      </c>
      <c r="C2" s="92"/>
      <c r="D2" s="92"/>
      <c r="E2" s="92"/>
      <c r="F2" s="93">
        <f>'[1]Raw FS'!J3</f>
        <v>44256</v>
      </c>
      <c r="G2" s="93">
        <f>'[1]Raw FS'!K3</f>
        <v>44621</v>
      </c>
      <c r="H2" s="93">
        <f>'[1]Raw FS'!L3</f>
        <v>44986</v>
      </c>
      <c r="I2" s="93">
        <f>'[1]Raw FS'!M3</f>
        <v>45352</v>
      </c>
      <c r="J2" s="93">
        <f>'[1]Raw FS'!N3</f>
        <v>45717</v>
      </c>
    </row>
    <row r="4" spans="2:10" x14ac:dyDescent="0.35">
      <c r="B4" s="82" t="s">
        <v>293</v>
      </c>
      <c r="C4" s="82"/>
    </row>
    <row r="5" spans="2:10" x14ac:dyDescent="0.35">
      <c r="B5" s="94" t="s">
        <v>294</v>
      </c>
      <c r="C5" s="94"/>
      <c r="D5" s="94"/>
      <c r="E5" s="94"/>
      <c r="F5" s="95">
        <f>'[1]Raw FS'!J33</f>
        <v>3579</v>
      </c>
      <c r="G5" s="95">
        <f>'[1]Raw FS'!K33</f>
        <v>4096</v>
      </c>
      <c r="H5" s="95">
        <f>'[1]Raw FS'!L33</f>
        <v>4251</v>
      </c>
      <c r="I5" s="95">
        <f>'[1]Raw FS'!M33</f>
        <v>4022</v>
      </c>
      <c r="J5" s="95">
        <f>'[1]Raw FS'!N33</f>
        <v>4415</v>
      </c>
    </row>
    <row r="6" spans="2:10" x14ac:dyDescent="0.35">
      <c r="B6" s="94" t="s">
        <v>295</v>
      </c>
      <c r="C6" s="94"/>
      <c r="D6" s="94"/>
      <c r="E6" s="94"/>
      <c r="F6" s="95">
        <f>'[1]Raw FS'!J34</f>
        <v>1758</v>
      </c>
      <c r="G6" s="95">
        <f>'[1]Raw FS'!K34</f>
        <v>2236</v>
      </c>
      <c r="H6" s="95">
        <f>'[1]Raw FS'!L34</f>
        <v>3079</v>
      </c>
      <c r="I6" s="95">
        <f>'[1]Raw FS'!M34</f>
        <v>2997</v>
      </c>
      <c r="J6" s="95">
        <f>'[1]Raw FS'!N34</f>
        <v>3819</v>
      </c>
    </row>
    <row r="7" spans="2:10" x14ac:dyDescent="0.35">
      <c r="B7" s="94" t="s">
        <v>202</v>
      </c>
      <c r="C7" s="94"/>
      <c r="D7" s="94"/>
      <c r="E7" s="94"/>
      <c r="F7" s="95">
        <f>'[1]Raw FS'!J36</f>
        <v>78</v>
      </c>
      <c r="G7" s="95">
        <f>'[1]Raw FS'!K36</f>
        <v>170</v>
      </c>
      <c r="H7" s="95">
        <f>'[1]Raw FS'!L36</f>
        <v>188</v>
      </c>
      <c r="I7" s="95">
        <f>'[1]Raw FS'!M36</f>
        <v>172</v>
      </c>
      <c r="J7" s="95">
        <f>'[1]Raw FS'!N36</f>
        <v>242</v>
      </c>
    </row>
    <row r="8" spans="2:10" x14ac:dyDescent="0.35">
      <c r="B8" s="29" t="s">
        <v>203</v>
      </c>
      <c r="C8" s="29"/>
      <c r="D8" s="29"/>
      <c r="E8" s="29"/>
      <c r="F8" s="96">
        <f>'[1]Raw FS'!J37</f>
        <v>3957</v>
      </c>
      <c r="G8" s="96">
        <f>'[1]Raw FS'!K37</f>
        <v>3851</v>
      </c>
      <c r="H8" s="96">
        <f>'[1]Raw FS'!L37</f>
        <v>4189</v>
      </c>
      <c r="I8" s="96">
        <f>'[1]Raw FS'!M37</f>
        <v>4345</v>
      </c>
      <c r="J8" s="96">
        <f>'[1]Raw FS'!N37</f>
        <v>4679</v>
      </c>
    </row>
    <row r="9" spans="2:10" x14ac:dyDescent="0.35">
      <c r="B9" s="66" t="s">
        <v>84</v>
      </c>
      <c r="C9" s="66"/>
      <c r="D9" s="66"/>
      <c r="E9" s="66"/>
      <c r="F9" s="97">
        <f>SUM(F5:F8)</f>
        <v>9372</v>
      </c>
      <c r="G9" s="97">
        <f t="shared" ref="G9:J9" si="0">SUM(G5:G8)</f>
        <v>10353</v>
      </c>
      <c r="H9" s="97">
        <f t="shared" si="0"/>
        <v>11707</v>
      </c>
      <c r="I9" s="97">
        <f t="shared" si="0"/>
        <v>11536</v>
      </c>
      <c r="J9" s="97">
        <f t="shared" si="0"/>
        <v>13155</v>
      </c>
    </row>
    <row r="10" spans="2:10" x14ac:dyDescent="0.35">
      <c r="F10" s="98"/>
      <c r="G10" s="98"/>
      <c r="H10" s="98"/>
      <c r="I10" s="98"/>
      <c r="J10" s="98"/>
    </row>
    <row r="11" spans="2:10" x14ac:dyDescent="0.35">
      <c r="B11" s="82" t="s">
        <v>296</v>
      </c>
      <c r="C11" s="82"/>
      <c r="F11" s="98"/>
      <c r="G11" s="98"/>
      <c r="H11" s="98"/>
      <c r="I11" s="98"/>
      <c r="J11" s="98"/>
    </row>
    <row r="12" spans="2:10" x14ac:dyDescent="0.35">
      <c r="B12" s="94" t="s">
        <v>182</v>
      </c>
      <c r="C12" s="94"/>
      <c r="D12" s="94"/>
      <c r="E12" s="99"/>
      <c r="F12" s="95">
        <f>'[1]Raw FS'!J13</f>
        <v>8802</v>
      </c>
      <c r="G12" s="95">
        <f>'[1]Raw FS'!K13</f>
        <v>9068</v>
      </c>
      <c r="H12" s="95">
        <f>'[1]Raw FS'!L13</f>
        <v>9574</v>
      </c>
      <c r="I12" s="95">
        <f>'[1]Raw FS'!M13</f>
        <v>10486</v>
      </c>
      <c r="J12" s="95">
        <f>'[1]Raw FS'!N13</f>
        <v>11315</v>
      </c>
    </row>
    <row r="13" spans="2:10" x14ac:dyDescent="0.35">
      <c r="B13" s="94" t="s">
        <v>183</v>
      </c>
      <c r="C13" s="94"/>
      <c r="D13" s="94"/>
      <c r="E13" s="94"/>
      <c r="F13" s="95">
        <f>'[1]Raw FS'!J14</f>
        <v>96</v>
      </c>
      <c r="G13" s="95">
        <f>'[1]Raw FS'!K14</f>
        <v>119</v>
      </c>
      <c r="H13" s="95">
        <f>'[1]Raw FS'!L14</f>
        <v>98</v>
      </c>
      <c r="I13" s="95">
        <f>'[1]Raw FS'!M14</f>
        <v>91</v>
      </c>
      <c r="J13" s="95">
        <f>'[1]Raw FS'!N14</f>
        <v>105</v>
      </c>
    </row>
    <row r="14" spans="2:10" x14ac:dyDescent="0.35">
      <c r="B14" s="100" t="s">
        <v>184</v>
      </c>
      <c r="C14" s="100"/>
      <c r="D14" s="100"/>
      <c r="E14" s="100"/>
      <c r="F14" s="101">
        <f>'[1]Raw FS'!J15</f>
        <v>12148</v>
      </c>
      <c r="G14" s="101">
        <f>'[1]Raw FS'!K15</f>
        <v>11189</v>
      </c>
      <c r="H14" s="101">
        <f>'[1]Raw FS'!L15</f>
        <v>11664</v>
      </c>
      <c r="I14" s="101">
        <f>'[1]Raw FS'!M15</f>
        <v>15005</v>
      </c>
      <c r="J14" s="101">
        <f>'[1]Raw FS'!N15</f>
        <v>17186</v>
      </c>
    </row>
    <row r="15" spans="2:10" x14ac:dyDescent="0.35">
      <c r="B15" s="82" t="s">
        <v>297</v>
      </c>
      <c r="C15" s="82"/>
      <c r="D15" s="82"/>
      <c r="F15" s="102">
        <f>SUM(F12:F14)</f>
        <v>21046</v>
      </c>
      <c r="G15" s="102">
        <f t="shared" ref="G15:J15" si="1">SUM(G12:G14)</f>
        <v>20376</v>
      </c>
      <c r="H15" s="102">
        <f t="shared" si="1"/>
        <v>21336</v>
      </c>
      <c r="I15" s="102">
        <f t="shared" si="1"/>
        <v>25582</v>
      </c>
      <c r="J15" s="102">
        <f t="shared" si="1"/>
        <v>28606</v>
      </c>
    </row>
    <row r="16" spans="2:10" x14ac:dyDescent="0.35">
      <c r="F16" s="98"/>
      <c r="G16" s="98"/>
      <c r="H16" s="98"/>
      <c r="I16" s="98"/>
      <c r="J16" s="98"/>
    </row>
    <row r="17" spans="2:10" ht="15" thickBot="1" x14ac:dyDescent="0.4">
      <c r="B17" s="103" t="s">
        <v>298</v>
      </c>
      <c r="C17" s="103"/>
      <c r="D17" s="104"/>
      <c r="E17" s="104"/>
      <c r="F17" s="105">
        <f>F9-F15</f>
        <v>-11674</v>
      </c>
      <c r="G17" s="105">
        <f t="shared" ref="G17:I17" si="2">G9-G15</f>
        <v>-10023</v>
      </c>
      <c r="H17" s="105">
        <f t="shared" si="2"/>
        <v>-9629</v>
      </c>
      <c r="I17" s="105">
        <f t="shared" si="2"/>
        <v>-14046</v>
      </c>
      <c r="J17" s="105">
        <f>J9-J15</f>
        <v>-15451</v>
      </c>
    </row>
    <row r="18" spans="2:10" ht="15" thickTop="1" x14ac:dyDescent="0.35">
      <c r="F18" s="98"/>
      <c r="G18" s="98"/>
      <c r="H18" s="98"/>
      <c r="I18" s="98"/>
      <c r="J18" s="98"/>
    </row>
    <row r="19" spans="2:10" x14ac:dyDescent="0.35">
      <c r="F19" s="98"/>
      <c r="G19" s="98"/>
      <c r="H19" s="98"/>
      <c r="I19" s="98"/>
      <c r="J19" s="98"/>
    </row>
    <row r="20" spans="2:10" x14ac:dyDescent="0.35">
      <c r="B20" s="82" t="s">
        <v>299</v>
      </c>
      <c r="C20" s="82"/>
      <c r="F20" s="98"/>
      <c r="G20" s="98"/>
      <c r="H20" s="98"/>
      <c r="I20" s="98"/>
      <c r="J20" s="98"/>
    </row>
    <row r="21" spans="2:10" x14ac:dyDescent="0.35">
      <c r="B21" s="94" t="str">
        <f>'[1]Raw FS'!B19</f>
        <v>Land</v>
      </c>
      <c r="C21" s="94"/>
      <c r="D21" s="94"/>
      <c r="E21" s="94"/>
      <c r="F21" s="95">
        <f>'[1]Raw FS'!J19</f>
        <v>477</v>
      </c>
      <c r="G21" s="95">
        <f>'[1]Raw FS'!K19</f>
        <v>477</v>
      </c>
      <c r="H21" s="95">
        <f>'[1]Raw FS'!L19</f>
        <v>609</v>
      </c>
      <c r="I21" s="95">
        <f>'[1]Raw FS'!M19</f>
        <v>633</v>
      </c>
      <c r="J21" s="95">
        <f>'[1]Raw FS'!N19</f>
        <v>628</v>
      </c>
    </row>
    <row r="22" spans="2:10" x14ac:dyDescent="0.35">
      <c r="B22" s="94" t="str">
        <f>'[1]Raw FS'!B20</f>
        <v>Building</v>
      </c>
      <c r="C22" s="94"/>
      <c r="D22" s="94"/>
      <c r="E22" s="94"/>
      <c r="F22" s="95">
        <f>'[1]Raw FS'!J20</f>
        <v>2602</v>
      </c>
      <c r="G22" s="95">
        <f>'[1]Raw FS'!K20</f>
        <v>2788</v>
      </c>
      <c r="H22" s="95">
        <f>'[1]Raw FS'!L20</f>
        <v>3101</v>
      </c>
      <c r="I22" s="95">
        <f>'[1]Raw FS'!M20</f>
        <v>3590</v>
      </c>
      <c r="J22" s="95">
        <f>'[1]Raw FS'!N20</f>
        <v>3833</v>
      </c>
    </row>
    <row r="23" spans="2:10" x14ac:dyDescent="0.35">
      <c r="B23" s="94" t="str">
        <f>'[1]Raw FS'!B21</f>
        <v>Plant Machinery</v>
      </c>
      <c r="C23" s="94"/>
      <c r="D23" s="94"/>
      <c r="E23" s="94"/>
      <c r="F23" s="95">
        <f>'[1]Raw FS'!J21</f>
        <v>6097</v>
      </c>
      <c r="G23" s="95">
        <f>'[1]Raw FS'!K21</f>
        <v>6566</v>
      </c>
      <c r="H23" s="95">
        <f>'[1]Raw FS'!L21</f>
        <v>7612</v>
      </c>
      <c r="I23" s="95">
        <f>'[1]Raw FS'!M21</f>
        <v>8946</v>
      </c>
      <c r="J23" s="95">
        <f>'[1]Raw FS'!N21</f>
        <v>9900</v>
      </c>
    </row>
    <row r="24" spans="2:10" x14ac:dyDescent="0.35">
      <c r="B24" s="94" t="str">
        <f>'[1]Raw FS'!B22</f>
        <v>Equipments</v>
      </c>
      <c r="C24" s="94"/>
      <c r="D24" s="94"/>
      <c r="E24" s="94"/>
      <c r="F24" s="95">
        <f>'[1]Raw FS'!J22</f>
        <v>175</v>
      </c>
      <c r="G24" s="95">
        <f>'[1]Raw FS'!K22</f>
        <v>181</v>
      </c>
      <c r="H24" s="95">
        <f>'[1]Raw FS'!L22</f>
        <v>185</v>
      </c>
      <c r="I24" s="95">
        <f>'[1]Raw FS'!M22</f>
        <v>206</v>
      </c>
      <c r="J24" s="95">
        <f>'[1]Raw FS'!N22</f>
        <v>245</v>
      </c>
    </row>
    <row r="25" spans="2:10" x14ac:dyDescent="0.35">
      <c r="B25" s="94" t="str">
        <f>'[1]Raw FS'!B23</f>
        <v>Furniture n fittings</v>
      </c>
      <c r="C25" s="94"/>
      <c r="D25" s="94"/>
      <c r="E25" s="94"/>
      <c r="F25" s="95">
        <f>'[1]Raw FS'!J23</f>
        <v>156</v>
      </c>
      <c r="G25" s="95">
        <f>'[1]Raw FS'!K23</f>
        <v>152</v>
      </c>
      <c r="H25" s="95">
        <f>'[1]Raw FS'!L23</f>
        <v>161</v>
      </c>
      <c r="I25" s="95">
        <f>'[1]Raw FS'!M23</f>
        <v>165</v>
      </c>
      <c r="J25" s="95">
        <f>'[1]Raw FS'!N23</f>
        <v>174</v>
      </c>
    </row>
    <row r="26" spans="2:10" x14ac:dyDescent="0.35">
      <c r="B26" s="94" t="str">
        <f>'[1]Raw FS'!B24</f>
        <v>Vehicles</v>
      </c>
      <c r="C26" s="94"/>
      <c r="D26" s="94"/>
      <c r="E26" s="94"/>
      <c r="F26" s="95">
        <f>'[1]Raw FS'!J24</f>
        <v>0</v>
      </c>
      <c r="G26" s="95">
        <f>'[1]Raw FS'!K24</f>
        <v>0</v>
      </c>
      <c r="H26" s="95">
        <f>'[1]Raw FS'!L24</f>
        <v>33</v>
      </c>
      <c r="I26" s="95">
        <f>'[1]Raw FS'!M24</f>
        <v>39</v>
      </c>
      <c r="J26" s="95">
        <f>'[1]Raw FS'!N24</f>
        <v>102</v>
      </c>
    </row>
    <row r="27" spans="2:10" x14ac:dyDescent="0.35">
      <c r="B27" s="94" t="str">
        <f>'[1]Raw FS'!B25</f>
        <v>Intangible Assets</v>
      </c>
      <c r="C27" s="94"/>
      <c r="D27" s="94"/>
      <c r="E27" s="94"/>
      <c r="F27" s="95">
        <f>'[1]Raw FS'!J25</f>
        <v>45262</v>
      </c>
      <c r="G27" s="95">
        <f>'[1]Raw FS'!K25</f>
        <v>45262</v>
      </c>
      <c r="H27" s="95">
        <f>'[1]Raw FS'!L25</f>
        <v>45692</v>
      </c>
      <c r="I27" s="95">
        <f>'[1]Raw FS'!M25</f>
        <v>45692</v>
      </c>
      <c r="J27" s="95">
        <f>'[1]Raw FS'!N25</f>
        <v>45692</v>
      </c>
    </row>
    <row r="28" spans="2:10" x14ac:dyDescent="0.35">
      <c r="B28" s="29" t="str">
        <f>'[1]Raw FS'!B26</f>
        <v>Other fixed assets</v>
      </c>
      <c r="C28" s="29"/>
      <c r="D28" s="29"/>
      <c r="E28" s="29"/>
      <c r="F28" s="96">
        <f>'[1]Raw FS'!J26</f>
        <v>155</v>
      </c>
      <c r="G28" s="96">
        <f>'[1]Raw FS'!K26</f>
        <v>152</v>
      </c>
      <c r="H28" s="96">
        <f>'[1]Raw FS'!L26</f>
        <v>171</v>
      </c>
      <c r="I28" s="96">
        <f>'[1]Raw FS'!M26</f>
        <v>180</v>
      </c>
      <c r="J28" s="96">
        <f>'[1]Raw FS'!N26</f>
        <v>190</v>
      </c>
    </row>
    <row r="29" spans="2:10" x14ac:dyDescent="0.35">
      <c r="B29" s="66" t="str">
        <f>'[1]Raw FS'!B27</f>
        <v>Gross Block</v>
      </c>
      <c r="C29" s="66"/>
      <c r="D29" s="66"/>
      <c r="E29" s="66"/>
      <c r="F29" s="97">
        <f>SUM(F21:F28)</f>
        <v>54924</v>
      </c>
      <c r="G29" s="97">
        <f t="shared" ref="G29:J29" si="3">SUM(G21:G28)</f>
        <v>55578</v>
      </c>
      <c r="H29" s="97">
        <f t="shared" si="3"/>
        <v>57564</v>
      </c>
      <c r="I29" s="97">
        <f t="shared" si="3"/>
        <v>59451</v>
      </c>
      <c r="J29" s="97">
        <f t="shared" si="3"/>
        <v>60764</v>
      </c>
    </row>
    <row r="30" spans="2:10" x14ac:dyDescent="0.35">
      <c r="B30" t="s">
        <v>300</v>
      </c>
      <c r="F30" s="98">
        <f>-'[1]Raw FS'!J28</f>
        <v>-3481</v>
      </c>
      <c r="G30" s="98">
        <f>-'[1]Raw FS'!K28</f>
        <v>-4105</v>
      </c>
      <c r="H30" s="98">
        <f>-'[1]Raw FS'!L28</f>
        <v>-4886</v>
      </c>
      <c r="I30" s="98">
        <f>-'[1]Raw FS'!M28</f>
        <v>-5707</v>
      </c>
      <c r="J30" s="98">
        <f>-'[1]Raw FS'!N28</f>
        <v>-6429</v>
      </c>
    </row>
    <row r="31" spans="2:10" ht="15" thickBot="1" x14ac:dyDescent="0.4">
      <c r="B31" s="103" t="s">
        <v>301</v>
      </c>
      <c r="C31" s="103"/>
      <c r="D31" s="103"/>
      <c r="E31" s="103"/>
      <c r="F31" s="106">
        <f>SUM(F29:F30)</f>
        <v>51443</v>
      </c>
      <c r="G31" s="106">
        <f t="shared" ref="G31:J31" si="4">SUM(G29:G30)</f>
        <v>51473</v>
      </c>
      <c r="H31" s="106">
        <f t="shared" si="4"/>
        <v>52678</v>
      </c>
      <c r="I31" s="106">
        <f t="shared" si="4"/>
        <v>53744</v>
      </c>
      <c r="J31" s="106">
        <f t="shared" si="4"/>
        <v>54335</v>
      </c>
    </row>
    <row r="32" spans="2:10" ht="15" thickTop="1" x14ac:dyDescent="0.35"/>
    <row r="33" spans="2:12" x14ac:dyDescent="0.35">
      <c r="B33" s="82" t="s">
        <v>302</v>
      </c>
      <c r="C33" s="82"/>
      <c r="D33" s="82"/>
      <c r="E33" s="82"/>
      <c r="F33" s="107">
        <f>F31+F17</f>
        <v>39769</v>
      </c>
      <c r="G33" s="107">
        <f t="shared" ref="G33:I33" si="5">G31+G17</f>
        <v>41450</v>
      </c>
      <c r="H33" s="107">
        <f t="shared" si="5"/>
        <v>43049</v>
      </c>
      <c r="I33" s="107">
        <f t="shared" si="5"/>
        <v>39698</v>
      </c>
      <c r="J33" s="107">
        <f>J31+J17</f>
        <v>38884</v>
      </c>
    </row>
    <row r="34" spans="2:12" x14ac:dyDescent="0.35">
      <c r="B34" s="82" t="s">
        <v>271</v>
      </c>
      <c r="F34" s="107">
        <f>'Historical FS'!$H$26+'Historical FS'!$H$20</f>
        <v>10552</v>
      </c>
      <c r="G34" s="107">
        <f>'Historical FS'!$I$26+'Historical FS'!$I$20</f>
        <v>11766</v>
      </c>
      <c r="H34" s="107">
        <f>'Historical FS'!$J$26+'Historical FS'!$J$20</f>
        <v>13010</v>
      </c>
      <c r="I34" s="107">
        <f>'Historical FS'!$K$26+'Historical FS'!$K$20</f>
        <v>13443</v>
      </c>
      <c r="J34" s="107">
        <f>'Historical FS'!$L$26+'Historical FS'!$L$20</f>
        <v>13488</v>
      </c>
    </row>
    <row r="36" spans="2:12" ht="15" thickBot="1" x14ac:dyDescent="0.4">
      <c r="B36" s="103" t="s">
        <v>303</v>
      </c>
      <c r="C36" s="104"/>
      <c r="D36" s="104"/>
      <c r="E36" s="104"/>
      <c r="F36" s="108">
        <f>F34*(1-F48)/F33</f>
        <v>0.19899922049837812</v>
      </c>
      <c r="G36" s="108">
        <f t="shared" ref="G36:J36" si="6">G34*(1-G48)/G33</f>
        <v>0.21289505428226779</v>
      </c>
      <c r="H36" s="108">
        <f t="shared" si="6"/>
        <v>0.22666031731282957</v>
      </c>
      <c r="I36" s="108">
        <f t="shared" si="6"/>
        <v>0.25397375182628845</v>
      </c>
      <c r="J36" s="108">
        <f t="shared" si="6"/>
        <v>0.26015841991564653</v>
      </c>
      <c r="L36" s="165"/>
    </row>
    <row r="37" spans="2:12" ht="15" thickTop="1" x14ac:dyDescent="0.35">
      <c r="B37" s="82"/>
      <c r="F37" s="157"/>
      <c r="G37" s="157"/>
      <c r="H37" s="157"/>
      <c r="I37" s="157"/>
      <c r="J37" s="157"/>
    </row>
    <row r="38" spans="2:12" x14ac:dyDescent="0.35">
      <c r="B38" s="82"/>
      <c r="F38" s="157"/>
      <c r="G38" s="157"/>
      <c r="H38" s="157"/>
      <c r="I38" s="111" t="s">
        <v>311</v>
      </c>
      <c r="J38" s="112">
        <f>AVERAGE(G36:J36)</f>
        <v>0.23842188583425811</v>
      </c>
    </row>
    <row r="39" spans="2:12" x14ac:dyDescent="0.35">
      <c r="B39" s="82"/>
      <c r="F39" s="157"/>
      <c r="G39" s="157"/>
      <c r="H39" s="157"/>
      <c r="I39" s="111" t="s">
        <v>312</v>
      </c>
      <c r="J39" s="112">
        <f>MEDIAN(G36:J36)</f>
        <v>0.240317034569559</v>
      </c>
    </row>
    <row r="40" spans="2:12" x14ac:dyDescent="0.35">
      <c r="B40" s="82"/>
      <c r="F40" s="157"/>
      <c r="G40" s="157"/>
      <c r="H40" s="157"/>
      <c r="I40" s="157"/>
      <c r="J40" s="157"/>
    </row>
    <row r="42" spans="2:12" x14ac:dyDescent="0.35">
      <c r="B42" s="92" t="s">
        <v>304</v>
      </c>
      <c r="C42" s="92"/>
      <c r="D42" s="92"/>
      <c r="E42" s="92"/>
      <c r="F42" s="93">
        <v>44256</v>
      </c>
      <c r="G42" s="93">
        <v>44621</v>
      </c>
      <c r="H42" s="93">
        <v>44986</v>
      </c>
      <c r="I42" s="93">
        <v>45352</v>
      </c>
      <c r="J42" s="93">
        <v>45717</v>
      </c>
    </row>
    <row r="43" spans="2:12" x14ac:dyDescent="0.35">
      <c r="L43" s="56"/>
    </row>
    <row r="44" spans="2:12" x14ac:dyDescent="0.35">
      <c r="B44" s="94" t="s">
        <v>305</v>
      </c>
      <c r="C44" s="94"/>
      <c r="D44" s="94"/>
      <c r="E44" s="94"/>
      <c r="F44" s="95">
        <f>-SUM('Raw FS'!J54:J55)</f>
        <v>4066</v>
      </c>
      <c r="G44" s="95">
        <f>-SUM('Raw FS'!K54:K55)</f>
        <v>1053</v>
      </c>
      <c r="H44" s="95">
        <f>-SUM('Raw FS'!L54:L55)</f>
        <v>1011</v>
      </c>
      <c r="I44" s="95">
        <f>-SUM('Raw FS'!M54:M55)</f>
        <v>1457</v>
      </c>
      <c r="J44" s="95">
        <f>-SUM('Raw FS'!N54:N55)</f>
        <v>1262</v>
      </c>
    </row>
    <row r="45" spans="2:12" x14ac:dyDescent="0.35">
      <c r="B45" s="94" t="s">
        <v>306</v>
      </c>
      <c r="C45" s="94"/>
      <c r="D45" s="94"/>
      <c r="E45" s="94"/>
      <c r="F45" s="95"/>
      <c r="G45" s="95">
        <f>G17-F17</f>
        <v>1651</v>
      </c>
      <c r="H45" s="95">
        <f t="shared" ref="H45:I45" si="7">H17-G17</f>
        <v>394</v>
      </c>
      <c r="I45" s="95">
        <f t="shared" si="7"/>
        <v>-4417</v>
      </c>
      <c r="J45" s="95">
        <f>J17-I17</f>
        <v>-1405</v>
      </c>
    </row>
    <row r="46" spans="2:12" x14ac:dyDescent="0.35">
      <c r="B46" s="94"/>
      <c r="C46" s="94"/>
      <c r="D46" s="94"/>
      <c r="E46" s="94"/>
      <c r="F46" s="95"/>
      <c r="G46" s="95"/>
      <c r="H46" s="95"/>
      <c r="I46" s="95"/>
      <c r="J46" s="95"/>
    </row>
    <row r="47" spans="2:12" x14ac:dyDescent="0.35">
      <c r="B47" s="94" t="s">
        <v>271</v>
      </c>
      <c r="C47" s="94"/>
      <c r="D47" s="94"/>
      <c r="E47" s="94"/>
      <c r="F47" s="95">
        <f>F34</f>
        <v>10552</v>
      </c>
      <c r="G47" s="95">
        <f t="shared" ref="G47:J47" si="8">G34</f>
        <v>11766</v>
      </c>
      <c r="H47" s="95">
        <f t="shared" si="8"/>
        <v>13010</v>
      </c>
      <c r="I47" s="95">
        <f t="shared" si="8"/>
        <v>13443</v>
      </c>
      <c r="J47" s="95">
        <f t="shared" si="8"/>
        <v>13488</v>
      </c>
    </row>
    <row r="48" spans="2:12" x14ac:dyDescent="0.35">
      <c r="B48" s="94" t="s">
        <v>307</v>
      </c>
      <c r="C48" s="94"/>
      <c r="D48" s="94"/>
      <c r="E48" s="94"/>
      <c r="F48" s="109">
        <v>0.25</v>
      </c>
      <c r="G48" s="109">
        <v>0.25</v>
      </c>
      <c r="H48" s="109">
        <v>0.25</v>
      </c>
      <c r="I48" s="109">
        <v>0.25</v>
      </c>
      <c r="J48" s="109">
        <v>0.25</v>
      </c>
    </row>
    <row r="49" spans="2:10" x14ac:dyDescent="0.35">
      <c r="B49" s="94" t="s">
        <v>308</v>
      </c>
      <c r="C49" s="94"/>
      <c r="D49" s="94"/>
      <c r="E49" s="94"/>
      <c r="F49" s="110">
        <f>F47*(1-F48)</f>
        <v>7914</v>
      </c>
      <c r="G49" s="110">
        <f t="shared" ref="G49:I49" si="9">G47*(1-G48)</f>
        <v>8824.5</v>
      </c>
      <c r="H49" s="110">
        <f t="shared" si="9"/>
        <v>9757.5</v>
      </c>
      <c r="I49" s="110">
        <f t="shared" si="9"/>
        <v>10082.25</v>
      </c>
      <c r="J49" s="110">
        <f>J47*(1-J48)</f>
        <v>10116</v>
      </c>
    </row>
    <row r="50" spans="2:10" x14ac:dyDescent="0.35">
      <c r="B50" s="94"/>
      <c r="C50" s="94"/>
      <c r="D50" s="94"/>
      <c r="E50" s="94"/>
      <c r="F50" s="94"/>
      <c r="G50" s="94"/>
      <c r="H50" s="94"/>
      <c r="I50" s="94"/>
      <c r="J50" s="94"/>
    </row>
    <row r="51" spans="2:10" x14ac:dyDescent="0.35">
      <c r="B51" s="94" t="s">
        <v>309</v>
      </c>
      <c r="C51" s="94"/>
      <c r="D51" s="94"/>
      <c r="E51" s="94"/>
      <c r="F51" s="94"/>
      <c r="G51" s="95">
        <f>SUM(G44:G45)</f>
        <v>2704</v>
      </c>
      <c r="H51" s="95">
        <f>SUM(H44:H45)</f>
        <v>1405</v>
      </c>
      <c r="I51" s="95">
        <f>SUM(I44:I45)</f>
        <v>-2960</v>
      </c>
      <c r="J51" s="95">
        <f>SUM(J44:J45)</f>
        <v>-143</v>
      </c>
    </row>
    <row r="52" spans="2:10" x14ac:dyDescent="0.35">
      <c r="G52" s="21"/>
      <c r="H52" s="21"/>
      <c r="I52" s="21"/>
      <c r="J52" s="21"/>
    </row>
    <row r="53" spans="2:10" ht="15" thickBot="1" x14ac:dyDescent="0.4">
      <c r="B53" s="103" t="s">
        <v>310</v>
      </c>
      <c r="C53" s="103"/>
      <c r="D53" s="103"/>
      <c r="E53" s="103"/>
      <c r="F53" s="103"/>
      <c r="G53" s="108">
        <f>G51/G49</f>
        <v>0.30641962717434418</v>
      </c>
      <c r="H53" s="108">
        <f>H51/H49</f>
        <v>0.14399180117858057</v>
      </c>
      <c r="I53" s="108">
        <f>I51/I49</f>
        <v>-0.29358526122641276</v>
      </c>
      <c r="J53" s="108">
        <f>J51/J49</f>
        <v>-1.4136022143139582E-2</v>
      </c>
    </row>
    <row r="54" spans="2:10" ht="15" thickTop="1" x14ac:dyDescent="0.35"/>
    <row r="55" spans="2:10" x14ac:dyDescent="0.35">
      <c r="I55" s="111" t="s">
        <v>311</v>
      </c>
      <c r="J55" s="112">
        <f>AVERAGE(G53:J53)</f>
        <v>3.5672536245843101E-2</v>
      </c>
    </row>
    <row r="56" spans="2:10" x14ac:dyDescent="0.35">
      <c r="I56" s="111" t="s">
        <v>312</v>
      </c>
      <c r="J56" s="112">
        <f>MEDIAN(G53:J53)</f>
        <v>6.4927889517720494E-2</v>
      </c>
    </row>
    <row r="58" spans="2:10" x14ac:dyDescent="0.35">
      <c r="B58" s="92" t="s">
        <v>313</v>
      </c>
      <c r="C58" s="92"/>
      <c r="D58" s="92"/>
      <c r="E58" s="92"/>
      <c r="F58" s="93">
        <v>44256</v>
      </c>
      <c r="G58" s="93">
        <v>44621</v>
      </c>
      <c r="H58" s="93">
        <v>44986</v>
      </c>
      <c r="I58" s="93">
        <v>45352</v>
      </c>
      <c r="J58" s="93">
        <v>45717</v>
      </c>
    </row>
    <row r="60" spans="2:10" x14ac:dyDescent="0.35">
      <c r="B60" s="94" t="s">
        <v>310</v>
      </c>
      <c r="C60" s="94"/>
      <c r="D60" s="94"/>
      <c r="E60" s="94"/>
      <c r="F60" s="94"/>
      <c r="G60" s="113">
        <f>G53</f>
        <v>0.30641962717434418</v>
      </c>
      <c r="H60" s="113">
        <f t="shared" ref="H60:J60" si="10">H53</f>
        <v>0.14399180117858057</v>
      </c>
      <c r="I60" s="113">
        <f>I53</f>
        <v>-0.29358526122641276</v>
      </c>
      <c r="J60" s="113">
        <f t="shared" si="10"/>
        <v>-1.4136022143139582E-2</v>
      </c>
    </row>
    <row r="61" spans="2:10" x14ac:dyDescent="0.35">
      <c r="B61" s="94" t="s">
        <v>303</v>
      </c>
      <c r="C61" s="94"/>
      <c r="D61" s="94"/>
      <c r="E61" s="94"/>
      <c r="F61" s="94"/>
      <c r="G61" s="113">
        <f>G36</f>
        <v>0.21289505428226779</v>
      </c>
      <c r="H61" s="113">
        <f t="shared" ref="H61:J61" si="11">H36</f>
        <v>0.22666031731282957</v>
      </c>
      <c r="I61" s="113">
        <f t="shared" si="11"/>
        <v>0.25397375182628845</v>
      </c>
      <c r="J61" s="113">
        <f t="shared" si="11"/>
        <v>0.26015841991564653</v>
      </c>
    </row>
    <row r="63" spans="2:10" ht="15" thickBot="1" x14ac:dyDescent="0.4">
      <c r="B63" s="103" t="s">
        <v>314</v>
      </c>
      <c r="C63" s="103"/>
      <c r="D63" s="103"/>
      <c r="E63" s="103"/>
      <c r="F63" s="103"/>
      <c r="G63" s="114">
        <f>G61*G60</f>
        <v>6.5235223160434258E-2</v>
      </c>
      <c r="H63" s="114">
        <f t="shared" ref="H63" si="12">H61*H60</f>
        <v>3.2637227345582935E-2</v>
      </c>
      <c r="I63" s="114">
        <f>I61*I60</f>
        <v>-7.456295027457302E-2</v>
      </c>
      <c r="J63" s="114">
        <f>J61*J60</f>
        <v>-3.6776051846517848E-3</v>
      </c>
    </row>
    <row r="64" spans="2:10" ht="15" thickTop="1" x14ac:dyDescent="0.35">
      <c r="J64" t="s">
        <v>54</v>
      </c>
    </row>
    <row r="65" spans="9:10" x14ac:dyDescent="0.35">
      <c r="I65" s="111" t="s">
        <v>311</v>
      </c>
      <c r="J65" s="112">
        <f>AVERAGE(G63:J63)</f>
        <v>4.9079737616980991E-3</v>
      </c>
    </row>
    <row r="66" spans="9:10" x14ac:dyDescent="0.35">
      <c r="I66" s="111" t="s">
        <v>312</v>
      </c>
      <c r="J66" s="112">
        <f>MEDIAN(G63:J63)</f>
        <v>1.4479811080465577E-2</v>
      </c>
    </row>
  </sheetData>
  <pageMargins left="0.7" right="0.7" top="0.75" bottom="0.75" header="0.3" footer="0.3"/>
  <ignoredErrors>
    <ignoredError sqref="F44:J4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6E45-B992-4C73-B0D6-62FDDFACB282}">
  <dimension ref="B2:M39"/>
  <sheetViews>
    <sheetView showGridLines="0" workbookViewId="0">
      <selection activeCell="F2" sqref="F2"/>
    </sheetView>
  </sheetViews>
  <sheetFormatPr defaultRowHeight="14.5" x14ac:dyDescent="0.35"/>
  <cols>
    <col min="1" max="1" width="1.81640625" customWidth="1"/>
    <col min="2" max="2" width="31.7265625" bestFit="1" customWidth="1"/>
    <col min="4" max="4" width="11.36328125" bestFit="1" customWidth="1"/>
    <col min="6" max="8" width="9.7265625" bestFit="1" customWidth="1"/>
    <col min="9" max="11" width="9.81640625" bestFit="1" customWidth="1"/>
    <col min="12" max="12" width="9.36328125" bestFit="1" customWidth="1"/>
    <col min="13" max="13" width="8.81640625" bestFit="1" customWidth="1"/>
  </cols>
  <sheetData>
    <row r="2" spans="2:11" x14ac:dyDescent="0.35">
      <c r="B2" s="20" t="s">
        <v>327</v>
      </c>
      <c r="C2" s="20"/>
    </row>
    <row r="4" spans="2:11" x14ac:dyDescent="0.35">
      <c r="B4" s="92" t="s">
        <v>270</v>
      </c>
      <c r="C4" s="92"/>
      <c r="D4" s="92"/>
      <c r="E4" s="92"/>
      <c r="F4" s="115">
        <v>45717</v>
      </c>
      <c r="G4" s="116">
        <f>EDATE(F4,12)</f>
        <v>46082</v>
      </c>
      <c r="H4" s="116">
        <f>EDATE(G4,12)</f>
        <v>46447</v>
      </c>
      <c r="I4" s="116">
        <f t="shared" ref="I4:J4" si="0">EDATE(H4,12)</f>
        <v>46813</v>
      </c>
      <c r="J4" s="116">
        <f t="shared" si="0"/>
        <v>47178</v>
      </c>
      <c r="K4" s="116">
        <f>EDATE(J4,12)</f>
        <v>47543</v>
      </c>
    </row>
    <row r="6" spans="2:11" x14ac:dyDescent="0.35">
      <c r="B6" s="94" t="s">
        <v>271</v>
      </c>
      <c r="C6" s="94"/>
      <c r="D6" s="94"/>
      <c r="E6" s="94"/>
      <c r="F6" s="117">
        <f>'Intrinsic Growth'!J34</f>
        <v>13488</v>
      </c>
      <c r="G6" s="117">
        <f>F6*(1+$F$16)</f>
        <v>13554.198750097785</v>
      </c>
      <c r="H6" s="117">
        <f>G6*(1+$F$16)</f>
        <v>13620.722401924108</v>
      </c>
      <c r="I6" s="117">
        <f>H6*(1+$F$16)</f>
        <v>13687.572550088125</v>
      </c>
      <c r="J6" s="117">
        <f>I6*(1+$F$16)</f>
        <v>13754.750797025297</v>
      </c>
      <c r="K6" s="117">
        <f>J6*(1+$F$16)</f>
        <v>13822.258753035794</v>
      </c>
    </row>
    <row r="7" spans="2:11" x14ac:dyDescent="0.35">
      <c r="B7" s="94" t="s">
        <v>222</v>
      </c>
      <c r="C7" s="94"/>
      <c r="D7" s="94"/>
      <c r="E7" s="94"/>
      <c r="F7" s="109">
        <v>0.25</v>
      </c>
      <c r="G7" s="113">
        <f>F7</f>
        <v>0.25</v>
      </c>
      <c r="H7" s="113">
        <f t="shared" ref="H7:K7" si="1">G7</f>
        <v>0.25</v>
      </c>
      <c r="I7" s="113">
        <f t="shared" si="1"/>
        <v>0.25</v>
      </c>
      <c r="J7" s="113">
        <f t="shared" si="1"/>
        <v>0.25</v>
      </c>
      <c r="K7" s="113">
        <f t="shared" si="1"/>
        <v>0.25</v>
      </c>
    </row>
    <row r="8" spans="2:11" x14ac:dyDescent="0.35">
      <c r="B8" s="94" t="s">
        <v>272</v>
      </c>
      <c r="C8" s="94"/>
      <c r="D8" s="94"/>
      <c r="E8" s="94"/>
      <c r="F8" s="117">
        <f t="shared" ref="F8:K8" si="2">F6*(1-F7)</f>
        <v>10116</v>
      </c>
      <c r="G8" s="117">
        <f>G6*(1-G7)</f>
        <v>10165.649062573339</v>
      </c>
      <c r="H8" s="117">
        <f t="shared" si="2"/>
        <v>10215.54180144308</v>
      </c>
      <c r="I8" s="117">
        <f t="shared" si="2"/>
        <v>10265.679412566094</v>
      </c>
      <c r="J8" s="117">
        <f t="shared" si="2"/>
        <v>10316.063097768973</v>
      </c>
      <c r="K8" s="117">
        <f t="shared" si="2"/>
        <v>10366.694064776846</v>
      </c>
    </row>
    <row r="9" spans="2:11" x14ac:dyDescent="0.35">
      <c r="B9" s="94" t="s">
        <v>273</v>
      </c>
      <c r="C9" s="94"/>
      <c r="D9" s="94"/>
      <c r="E9" s="94"/>
      <c r="F9" s="156"/>
      <c r="G9" s="156">
        <f>'Intrinsic Growth'!$J$55</f>
        <v>3.5672536245843101E-2</v>
      </c>
      <c r="H9" s="156">
        <f>'Intrinsic Growth'!$J$55</f>
        <v>3.5672536245843101E-2</v>
      </c>
      <c r="I9" s="156">
        <f>'Intrinsic Growth'!$J$55</f>
        <v>3.5672536245843101E-2</v>
      </c>
      <c r="J9" s="156">
        <f>'Intrinsic Growth'!$J$55</f>
        <v>3.5672536245843101E-2</v>
      </c>
      <c r="K9" s="156">
        <f>'Intrinsic Growth'!$J$55</f>
        <v>3.5672536245843101E-2</v>
      </c>
    </row>
    <row r="10" spans="2:11" x14ac:dyDescent="0.35">
      <c r="B10" s="94" t="s">
        <v>274</v>
      </c>
      <c r="C10" s="94"/>
      <c r="D10" s="94"/>
      <c r="E10" s="94"/>
      <c r="F10" s="117">
        <f>F8*(1-F9)</f>
        <v>10116</v>
      </c>
      <c r="G10" s="117">
        <f>G8*(1-G9)</f>
        <v>9803.0145779261711</v>
      </c>
      <c r="H10" s="117">
        <f t="shared" ref="H10:K10" si="3">H8*(1-H9)</f>
        <v>9851.127516260176</v>
      </c>
      <c r="I10" s="117">
        <f t="shared" si="3"/>
        <v>9899.4765916331253</v>
      </c>
      <c r="J10" s="117">
        <f t="shared" si="3"/>
        <v>9948.0629629994037</v>
      </c>
      <c r="K10" s="117">
        <f t="shared" si="3"/>
        <v>9996.8877950015267</v>
      </c>
    </row>
    <row r="11" spans="2:11" x14ac:dyDescent="0.35">
      <c r="B11" s="94" t="s">
        <v>275</v>
      </c>
      <c r="C11" s="94"/>
      <c r="D11" s="94"/>
      <c r="E11" s="94"/>
      <c r="F11" s="94"/>
      <c r="G11" s="94">
        <v>0.5</v>
      </c>
      <c r="H11" s="94">
        <f>G11+1</f>
        <v>1.5</v>
      </c>
      <c r="I11" s="94">
        <f t="shared" ref="I11:K11" si="4">H11+1</f>
        <v>2.5</v>
      </c>
      <c r="J11" s="94">
        <f t="shared" si="4"/>
        <v>3.5</v>
      </c>
      <c r="K11" s="94">
        <f t="shared" si="4"/>
        <v>4.5</v>
      </c>
    </row>
    <row r="12" spans="2:11" x14ac:dyDescent="0.35">
      <c r="B12" s="94" t="s">
        <v>276</v>
      </c>
      <c r="C12" s="94"/>
      <c r="D12" s="94"/>
      <c r="E12" s="94"/>
      <c r="F12" s="94"/>
      <c r="G12" s="118">
        <f>1/(1+$F$18)^G11</f>
        <v>0.93064580316838175</v>
      </c>
      <c r="H12" s="118">
        <f t="shared" ref="H12" si="5">1/(1+$F$18)^H11</f>
        <v>0.80603382935257295</v>
      </c>
      <c r="I12" s="118">
        <f>1/(1+$F$18)^I11</f>
        <v>0.69810719808642818</v>
      </c>
      <c r="J12" s="118">
        <f>1/(1+$F$18)^J11</f>
        <v>0.60463176888188253</v>
      </c>
      <c r="K12" s="118">
        <f>1/(1+$F$18)^K11</f>
        <v>0.52367254906312266</v>
      </c>
    </row>
    <row r="14" spans="2:11" ht="15" thickBot="1" x14ac:dyDescent="0.4">
      <c r="B14" s="103" t="s">
        <v>277</v>
      </c>
      <c r="C14" s="103"/>
      <c r="D14" s="103"/>
      <c r="E14" s="103"/>
      <c r="F14" s="103"/>
      <c r="G14" s="119">
        <f>G10*G12</f>
        <v>9123.1343753454566</v>
      </c>
      <c r="H14" s="119">
        <f t="shared" ref="H14:J14" si="6">H10*H12</f>
        <v>7940.3420353716901</v>
      </c>
      <c r="I14" s="119">
        <f t="shared" si="6"/>
        <v>6910.895865907185</v>
      </c>
      <c r="J14" s="119">
        <f t="shared" si="6"/>
        <v>6014.9149062666711</v>
      </c>
      <c r="K14" s="119">
        <f>K10*K12</f>
        <v>5235.0957143064688</v>
      </c>
    </row>
    <row r="15" spans="2:11" ht="15" thickTop="1" x14ac:dyDescent="0.35"/>
    <row r="16" spans="2:11" x14ac:dyDescent="0.35">
      <c r="B16" s="120" t="s">
        <v>278</v>
      </c>
      <c r="C16" s="120"/>
      <c r="D16" s="120"/>
      <c r="E16" s="120"/>
      <c r="F16" s="121">
        <f>'Intrinsic Growth'!J65</f>
        <v>4.9079737616980991E-3</v>
      </c>
    </row>
    <row r="17" spans="2:13" x14ac:dyDescent="0.35">
      <c r="B17" s="120" t="s">
        <v>279</v>
      </c>
      <c r="C17" s="120"/>
      <c r="D17" s="120"/>
      <c r="E17" s="120"/>
      <c r="F17" s="121">
        <v>0.04</v>
      </c>
    </row>
    <row r="18" spans="2:13" x14ac:dyDescent="0.35">
      <c r="B18" s="120" t="s">
        <v>235</v>
      </c>
      <c r="C18" s="120"/>
      <c r="D18" s="120"/>
      <c r="E18" s="120"/>
      <c r="F18" s="121">
        <f>WACC!K42</f>
        <v>0.15459893775910163</v>
      </c>
      <c r="J18" t="s">
        <v>54</v>
      </c>
    </row>
    <row r="20" spans="2:13" x14ac:dyDescent="0.35">
      <c r="B20" s="92" t="s">
        <v>280</v>
      </c>
      <c r="C20" s="92"/>
      <c r="D20" s="92"/>
      <c r="E20" s="92"/>
      <c r="I20" s="41" t="s">
        <v>326</v>
      </c>
      <c r="J20" s="41"/>
      <c r="K20" s="41"/>
      <c r="L20" s="41"/>
      <c r="M20" s="41"/>
    </row>
    <row r="21" spans="2:13" x14ac:dyDescent="0.35">
      <c r="H21" s="162">
        <f>D26</f>
        <v>90723.033826514336</v>
      </c>
      <c r="I21" s="161">
        <v>0.13869999999999999</v>
      </c>
      <c r="J21" s="161">
        <v>0.14360000000000001</v>
      </c>
      <c r="K21" s="161">
        <v>0.15459999999999999</v>
      </c>
      <c r="L21" s="161">
        <v>0.16980000000000001</v>
      </c>
      <c r="M21" s="161">
        <v>0.17730000000000001</v>
      </c>
    </row>
    <row r="22" spans="2:13" x14ac:dyDescent="0.35">
      <c r="B22" t="s">
        <v>281</v>
      </c>
      <c r="D22" s="123">
        <f>K10*(1+F17)</f>
        <v>10396.763306801588</v>
      </c>
      <c r="F22" t="s">
        <v>54</v>
      </c>
      <c r="H22" s="160">
        <v>0.03</v>
      </c>
      <c r="I22" s="65">
        <f t="dataTable" ref="I22:M26" dt2D="1" dtr="1" r1="D23" r2="D24"/>
        <v>95646.396566711948</v>
      </c>
      <c r="J22" s="65">
        <v>91520.80375705623</v>
      </c>
      <c r="K22" s="65">
        <v>83441.118032115482</v>
      </c>
      <c r="L22" s="65">
        <v>74368.836243215934</v>
      </c>
      <c r="M22" s="65">
        <v>70582.23561983426</v>
      </c>
    </row>
    <row r="23" spans="2:13" x14ac:dyDescent="0.35">
      <c r="B23" t="s">
        <v>235</v>
      </c>
      <c r="D23" s="56">
        <f>F18</f>
        <v>0.15459893775910163</v>
      </c>
      <c r="H23" s="160">
        <v>0.04</v>
      </c>
      <c r="I23" s="65">
        <v>105337.01425330891</v>
      </c>
      <c r="J23" s="65">
        <v>100354.8581737605</v>
      </c>
      <c r="K23" s="163">
        <v>90722.192904027834</v>
      </c>
      <c r="L23" s="65">
        <v>80098.330560875096</v>
      </c>
      <c r="M23" s="65">
        <v>75722.96654626065</v>
      </c>
    </row>
    <row r="24" spans="2:13" x14ac:dyDescent="0.35">
      <c r="B24" t="s">
        <v>282</v>
      </c>
      <c r="D24" s="56">
        <f>F17</f>
        <v>0.04</v>
      </c>
      <c r="H24" s="160">
        <v>0.05</v>
      </c>
      <c r="I24" s="65">
        <v>117212.66411275748</v>
      </c>
      <c r="J24" s="65">
        <v>111076.53105557252</v>
      </c>
      <c r="K24" s="65">
        <v>99395.442703648077</v>
      </c>
      <c r="L24" s="65">
        <v>86784.334781315425</v>
      </c>
      <c r="M24" s="65">
        <v>81671.353549109073</v>
      </c>
    </row>
    <row r="25" spans="2:13" x14ac:dyDescent="0.35">
      <c r="H25" s="160">
        <v>0.06</v>
      </c>
      <c r="I25" s="65">
        <v>132106.2681931587</v>
      </c>
      <c r="J25" s="65">
        <v>124363.19744977975</v>
      </c>
      <c r="K25" s="65">
        <v>109902.36053701468</v>
      </c>
      <c r="L25" s="65">
        <v>94688.190408029026</v>
      </c>
      <c r="M25" s="65">
        <v>88633.958284753506</v>
      </c>
    </row>
    <row r="26" spans="2:13" x14ac:dyDescent="0.35">
      <c r="B26" s="124" t="s">
        <v>283</v>
      </c>
      <c r="C26" s="124"/>
      <c r="D26" s="125">
        <f>D22/(D23-D24)</f>
        <v>90723.033826514336</v>
      </c>
      <c r="H26" s="160">
        <v>7.0000000000000007E-2</v>
      </c>
      <c r="I26" s="65">
        <v>151335.71043379317</v>
      </c>
      <c r="J26" s="65">
        <v>141260.37101632592</v>
      </c>
      <c r="K26" s="65">
        <v>122893.18329552707</v>
      </c>
      <c r="L26" s="65">
        <v>104175.98503809205</v>
      </c>
      <c r="M26" s="65">
        <v>96894.345822941163</v>
      </c>
    </row>
    <row r="27" spans="2:13" x14ac:dyDescent="0.35">
      <c r="B27" t="s">
        <v>54</v>
      </c>
    </row>
    <row r="28" spans="2:13" x14ac:dyDescent="0.35">
      <c r="B28" s="92" t="s">
        <v>284</v>
      </c>
      <c r="C28" s="92"/>
      <c r="D28" s="92"/>
      <c r="E28" s="164"/>
    </row>
    <row r="30" spans="2:13" x14ac:dyDescent="0.35">
      <c r="B30" t="s">
        <v>277</v>
      </c>
      <c r="D30" s="123">
        <f>SUM(G14:K14)</f>
        <v>35224.382897197465</v>
      </c>
    </row>
    <row r="31" spans="2:13" x14ac:dyDescent="0.35">
      <c r="B31" t="s">
        <v>285</v>
      </c>
      <c r="D31" s="123">
        <f>D26*K12</f>
        <v>47509.162382670664</v>
      </c>
    </row>
    <row r="32" spans="2:13" x14ac:dyDescent="0.35">
      <c r="B32" s="82" t="s">
        <v>286</v>
      </c>
      <c r="C32" s="82"/>
      <c r="D32" s="126">
        <f>SUM(D30:D31)</f>
        <v>82733.545279868122</v>
      </c>
    </row>
    <row r="33" spans="2:6" x14ac:dyDescent="0.35">
      <c r="F33" t="s">
        <v>54</v>
      </c>
    </row>
    <row r="34" spans="2:6" x14ac:dyDescent="0.35">
      <c r="B34" t="s">
        <v>287</v>
      </c>
      <c r="D34" s="65">
        <f>'Data Sheet'!$K$69</f>
        <v>4442</v>
      </c>
    </row>
    <row r="35" spans="2:6" x14ac:dyDescent="0.35">
      <c r="B35" t="s">
        <v>288</v>
      </c>
      <c r="D35" s="127">
        <f>SUM('Raw FS'!N8:N9)</f>
        <v>1648</v>
      </c>
    </row>
    <row r="36" spans="2:6" x14ac:dyDescent="0.35">
      <c r="B36" s="82" t="s">
        <v>289</v>
      </c>
      <c r="C36" s="82"/>
      <c r="D36" s="107">
        <f>D32+D34-D35</f>
        <v>85527.545279868122</v>
      </c>
    </row>
    <row r="37" spans="2:6" x14ac:dyDescent="0.35">
      <c r="B37" t="s">
        <v>290</v>
      </c>
      <c r="D37" s="123">
        <f>'Data Sheet'!$B$6</f>
        <v>234.95910899935024</v>
      </c>
    </row>
    <row r="38" spans="2:6" x14ac:dyDescent="0.35">
      <c r="B38" s="82"/>
      <c r="C38" s="82"/>
      <c r="D38" s="126"/>
    </row>
    <row r="39" spans="2:6" x14ac:dyDescent="0.35">
      <c r="B39" s="82" t="s">
        <v>291</v>
      </c>
      <c r="C39" s="82"/>
      <c r="D39" s="126">
        <f>D36/D37</f>
        <v>364.01034054016884</v>
      </c>
    </row>
  </sheetData>
  <pageMargins left="0.7" right="0.7" top="0.75" bottom="0.75" header="0.3" footer="0.3"/>
  <ignoredErrors>
    <ignoredError sqref="G9:K9" formula="1"/>
    <ignoredError sqref="D3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showGridLines="0" zoomScale="85" zoomScaleNormal="85" zoomScalePageLayoutView="120" workbookViewId="0">
      <pane xSplit="1" ySplit="1" topLeftCell="B14" activePane="bottomRight" state="frozen"/>
      <selection activeCell="C4" sqref="C4"/>
      <selection pane="topRight" activeCell="C4" sqref="C4"/>
      <selection pane="bottomLeft" activeCell="C4" sqref="C4"/>
      <selection pane="bottomRight" activeCell="D37" sqref="D37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32</v>
      </c>
      <c r="E1" s="170" t="str">
        <f>IF(B2&lt;&gt;B3, "A NEW VERSION OF THE WORKSHEET IS AVAILABLE", "")</f>
        <v/>
      </c>
      <c r="F1" s="170"/>
      <c r="G1" s="170"/>
      <c r="H1" s="170"/>
      <c r="I1" s="170"/>
      <c r="J1" s="170"/>
      <c r="K1" s="170"/>
    </row>
    <row r="2" spans="1:11" x14ac:dyDescent="0.35">
      <c r="A2" s="1" t="s">
        <v>30</v>
      </c>
      <c r="B2" s="2">
        <v>2.1</v>
      </c>
      <c r="E2" s="171" t="s">
        <v>21</v>
      </c>
      <c r="F2" s="171"/>
      <c r="G2" s="171"/>
      <c r="H2" s="171"/>
      <c r="I2" s="171"/>
      <c r="J2" s="171"/>
      <c r="K2" s="171"/>
    </row>
    <row r="3" spans="1:11" x14ac:dyDescent="0.35">
      <c r="A3" s="1" t="s">
        <v>31</v>
      </c>
      <c r="B3" s="2">
        <v>2.1</v>
      </c>
    </row>
    <row r="4" spans="1:11" x14ac:dyDescent="0.35">
      <c r="A4" s="1"/>
    </row>
    <row r="5" spans="1:11" x14ac:dyDescent="0.35">
      <c r="A5" s="1" t="s">
        <v>33</v>
      </c>
    </row>
    <row r="6" spans="1:11" x14ac:dyDescent="0.35">
      <c r="A6" s="2" t="s">
        <v>27</v>
      </c>
      <c r="B6" s="2">
        <f>IF(B9&gt;0, B9/B8, 0)</f>
        <v>234.95910899935024</v>
      </c>
    </row>
    <row r="7" spans="1:11" x14ac:dyDescent="0.35">
      <c r="A7" s="2" t="s">
        <v>16</v>
      </c>
      <c r="B7">
        <v>1</v>
      </c>
    </row>
    <row r="8" spans="1:11" x14ac:dyDescent="0.35">
      <c r="A8" s="2" t="s">
        <v>28</v>
      </c>
      <c r="B8">
        <v>2462.4</v>
      </c>
    </row>
    <row r="9" spans="1:11" x14ac:dyDescent="0.35">
      <c r="A9" s="2" t="s">
        <v>43</v>
      </c>
      <c r="B9">
        <v>578563.31000000006</v>
      </c>
    </row>
    <row r="15" spans="1:11" x14ac:dyDescent="0.35">
      <c r="A15" s="1" t="s">
        <v>22</v>
      </c>
    </row>
    <row r="16" spans="1:11" s="6" customFormat="1" x14ac:dyDescent="0.35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5">
      <c r="A17" s="3" t="s">
        <v>1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3" customFormat="1" x14ac:dyDescent="0.35">
      <c r="A18" s="2" t="s">
        <v>44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3" customFormat="1" x14ac:dyDescent="0.35">
      <c r="A19" s="2" t="s">
        <v>45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3" customFormat="1" x14ac:dyDescent="0.35">
      <c r="A20" s="2" t="s">
        <v>46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3" customFormat="1" x14ac:dyDescent="0.35">
      <c r="A21" s="2" t="s">
        <v>47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3" customFormat="1" x14ac:dyDescent="0.35">
      <c r="A22" s="2" t="s">
        <v>48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3" customFormat="1" x14ac:dyDescent="0.35">
      <c r="A23" s="2" t="s">
        <v>49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3" customFormat="1" x14ac:dyDescent="0.35">
      <c r="A24" s="2" t="s">
        <v>50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3" customFormat="1" x14ac:dyDescent="0.35">
      <c r="A25" s="3" t="s">
        <v>4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3" customFormat="1" x14ac:dyDescent="0.35">
      <c r="A26" s="3" t="s">
        <v>5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3" customFormat="1" x14ac:dyDescent="0.35">
      <c r="A27" s="3" t="s">
        <v>6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3" customFormat="1" x14ac:dyDescent="0.35">
      <c r="A28" s="3" t="s">
        <v>7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3" customFormat="1" x14ac:dyDescent="0.35">
      <c r="A29" s="3" t="s">
        <v>8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3" customFormat="1" x14ac:dyDescent="0.35">
      <c r="A30" s="3" t="s">
        <v>9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3" customFormat="1" x14ac:dyDescent="0.35">
      <c r="A31" s="3" t="s">
        <v>34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3" customFormat="1" x14ac:dyDescent="0.35"/>
    <row r="33" spans="1:11" x14ac:dyDescent="0.35">
      <c r="A33" s="3" t="s">
        <v>150</v>
      </c>
      <c r="B33" s="2">
        <f>SUM(B30,B29,B27,B26)</f>
        <v>6396</v>
      </c>
      <c r="C33" s="2">
        <f t="shared" ref="C33:J33" si="0">SUM(C30,C29,C27,C26)</f>
        <v>6920</v>
      </c>
      <c r="D33" s="2">
        <f t="shared" si="0"/>
        <v>7839</v>
      </c>
      <c r="E33" s="2">
        <f t="shared" si="0"/>
        <v>9196</v>
      </c>
      <c r="F33" s="2">
        <f t="shared" si="0"/>
        <v>10277</v>
      </c>
      <c r="G33" s="2">
        <f t="shared" si="0"/>
        <v>11792</v>
      </c>
      <c r="H33" s="2">
        <f t="shared" si="0"/>
        <v>13063</v>
      </c>
      <c r="I33" s="2">
        <f t="shared" si="0"/>
        <v>14572</v>
      </c>
      <c r="J33" s="2">
        <f t="shared" si="0"/>
        <v>15471</v>
      </c>
      <c r="K33" s="2">
        <f>SUM(K30,K29,K27,K26)</f>
        <v>16143</v>
      </c>
    </row>
    <row r="34" spans="1:11" x14ac:dyDescent="0.35">
      <c r="A34" s="3"/>
      <c r="K34" s="2" t="s">
        <v>54</v>
      </c>
    </row>
    <row r="35" spans="1:11" x14ac:dyDescent="0.35">
      <c r="A35" s="3"/>
    </row>
    <row r="36" spans="1:11" x14ac:dyDescent="0.35">
      <c r="A36" s="3"/>
      <c r="C36" s="2" t="s">
        <v>54</v>
      </c>
    </row>
    <row r="37" spans="1:11" x14ac:dyDescent="0.35">
      <c r="A37" s="3"/>
    </row>
    <row r="38" spans="1:11" x14ac:dyDescent="0.35">
      <c r="A38" s="3"/>
    </row>
    <row r="39" spans="1:11" x14ac:dyDescent="0.35">
      <c r="A39" s="3"/>
    </row>
    <row r="40" spans="1:11" x14ac:dyDescent="0.35">
      <c r="A40" s="1" t="s">
        <v>24</v>
      </c>
    </row>
    <row r="41" spans="1:11" s="6" customFormat="1" x14ac:dyDescent="0.35">
      <c r="A41" s="5" t="s">
        <v>23</v>
      </c>
      <c r="B41" s="4">
        <v>45107</v>
      </c>
      <c r="C41" s="4">
        <v>45199</v>
      </c>
      <c r="D41" s="4">
        <v>45291</v>
      </c>
      <c r="E41" s="4">
        <v>45382</v>
      </c>
      <c r="F41" s="4">
        <v>45473</v>
      </c>
      <c r="G41" s="4">
        <v>45565</v>
      </c>
      <c r="H41" s="4">
        <v>45657</v>
      </c>
      <c r="I41" s="4">
        <v>45747</v>
      </c>
      <c r="J41" s="4">
        <v>45838</v>
      </c>
      <c r="K41" s="4">
        <v>45930</v>
      </c>
    </row>
    <row r="42" spans="1:11" s="3" customFormat="1" x14ac:dyDescent="0.35">
      <c r="A42" s="3" t="s">
        <v>1</v>
      </c>
      <c r="B42">
        <v>15496</v>
      </c>
      <c r="C42">
        <v>15623</v>
      </c>
      <c r="D42">
        <v>15567</v>
      </c>
      <c r="E42">
        <v>15210</v>
      </c>
      <c r="F42">
        <v>15707</v>
      </c>
      <c r="G42">
        <v>15926</v>
      </c>
      <c r="H42">
        <v>15818</v>
      </c>
      <c r="I42">
        <v>15670</v>
      </c>
      <c r="J42">
        <v>16514</v>
      </c>
      <c r="K42">
        <v>16241</v>
      </c>
    </row>
    <row r="43" spans="1:11" s="3" customFormat="1" x14ac:dyDescent="0.35">
      <c r="A43" s="3" t="s">
        <v>2</v>
      </c>
      <c r="B43">
        <v>11832</v>
      </c>
      <c r="C43">
        <v>11828</v>
      </c>
      <c r="D43">
        <v>11902</v>
      </c>
      <c r="E43">
        <v>11675</v>
      </c>
      <c r="F43">
        <v>11965</v>
      </c>
      <c r="G43">
        <v>12139</v>
      </c>
      <c r="H43">
        <v>12123</v>
      </c>
      <c r="I43">
        <v>12052</v>
      </c>
      <c r="J43">
        <v>12797</v>
      </c>
      <c r="K43">
        <v>12515</v>
      </c>
    </row>
    <row r="44" spans="1:11" s="3" customFormat="1" x14ac:dyDescent="0.35">
      <c r="A44" s="3" t="s">
        <v>4</v>
      </c>
      <c r="B44">
        <v>146</v>
      </c>
      <c r="C44">
        <v>178</v>
      </c>
      <c r="D44">
        <v>184</v>
      </c>
      <c r="E44">
        <v>309</v>
      </c>
      <c r="F44">
        <v>209</v>
      </c>
      <c r="G44">
        <v>203</v>
      </c>
      <c r="H44">
        <v>740</v>
      </c>
      <c r="I44">
        <v>171</v>
      </c>
      <c r="J44">
        <v>74</v>
      </c>
      <c r="K44">
        <v>331</v>
      </c>
    </row>
    <row r="45" spans="1:11" s="3" customFormat="1" x14ac:dyDescent="0.35">
      <c r="A45" s="3" t="s">
        <v>5</v>
      </c>
      <c r="B45">
        <v>286</v>
      </c>
      <c r="C45">
        <v>297</v>
      </c>
      <c r="D45">
        <v>313</v>
      </c>
      <c r="E45">
        <v>320</v>
      </c>
      <c r="F45">
        <v>329</v>
      </c>
      <c r="G45">
        <v>338</v>
      </c>
      <c r="H45">
        <v>341</v>
      </c>
      <c r="I45">
        <v>347</v>
      </c>
      <c r="J45">
        <v>361</v>
      </c>
      <c r="K45">
        <v>358</v>
      </c>
    </row>
    <row r="46" spans="1:11" s="3" customFormat="1" x14ac:dyDescent="0.35">
      <c r="A46" s="3" t="s">
        <v>6</v>
      </c>
      <c r="B46">
        <v>50</v>
      </c>
      <c r="C46">
        <v>88</v>
      </c>
      <c r="D46">
        <v>91</v>
      </c>
      <c r="E46">
        <v>105</v>
      </c>
      <c r="F46">
        <v>93</v>
      </c>
      <c r="G46">
        <v>110</v>
      </c>
      <c r="H46">
        <v>112</v>
      </c>
      <c r="I46">
        <v>80</v>
      </c>
      <c r="J46">
        <v>127</v>
      </c>
      <c r="K46">
        <v>129</v>
      </c>
    </row>
    <row r="47" spans="1:11" s="3" customFormat="1" x14ac:dyDescent="0.35">
      <c r="A47" s="3" t="s">
        <v>7</v>
      </c>
      <c r="B47">
        <v>3474</v>
      </c>
      <c r="C47">
        <v>3588</v>
      </c>
      <c r="D47">
        <v>3445</v>
      </c>
      <c r="E47">
        <v>3419</v>
      </c>
      <c r="F47">
        <v>3529</v>
      </c>
      <c r="G47">
        <v>3542</v>
      </c>
      <c r="H47">
        <v>3982</v>
      </c>
      <c r="I47">
        <v>3362</v>
      </c>
      <c r="J47">
        <v>3303</v>
      </c>
      <c r="K47">
        <v>3570</v>
      </c>
    </row>
    <row r="48" spans="1:11" s="3" customFormat="1" x14ac:dyDescent="0.35">
      <c r="A48" s="3" t="s">
        <v>8</v>
      </c>
      <c r="B48">
        <v>918</v>
      </c>
      <c r="C48">
        <v>931</v>
      </c>
      <c r="D48">
        <v>937</v>
      </c>
      <c r="E48">
        <v>858</v>
      </c>
      <c r="F48">
        <v>917</v>
      </c>
      <c r="G48">
        <v>947</v>
      </c>
      <c r="H48">
        <v>993</v>
      </c>
      <c r="I48">
        <v>887</v>
      </c>
      <c r="J48">
        <v>535</v>
      </c>
      <c r="K48">
        <v>876</v>
      </c>
    </row>
    <row r="49" spans="1:11" s="3" customFormat="1" x14ac:dyDescent="0.35">
      <c r="A49" s="3" t="s">
        <v>9</v>
      </c>
      <c r="B49">
        <v>2554</v>
      </c>
      <c r="C49">
        <v>2656</v>
      </c>
      <c r="D49">
        <v>2509</v>
      </c>
      <c r="E49">
        <v>2558</v>
      </c>
      <c r="F49">
        <v>2610</v>
      </c>
      <c r="G49">
        <v>2591</v>
      </c>
      <c r="H49">
        <v>2984</v>
      </c>
      <c r="I49">
        <v>2464</v>
      </c>
      <c r="J49">
        <v>2756</v>
      </c>
      <c r="K49">
        <v>2685</v>
      </c>
    </row>
    <row r="50" spans="1:11" x14ac:dyDescent="0.35">
      <c r="A50" s="3" t="s">
        <v>3</v>
      </c>
      <c r="B50">
        <v>3664</v>
      </c>
      <c r="C50">
        <v>3795</v>
      </c>
      <c r="D50">
        <v>3665</v>
      </c>
      <c r="E50">
        <v>3535</v>
      </c>
      <c r="F50">
        <v>3742</v>
      </c>
      <c r="G50">
        <v>3787</v>
      </c>
      <c r="H50">
        <v>3695</v>
      </c>
      <c r="I50">
        <v>3618</v>
      </c>
      <c r="J50">
        <v>3717</v>
      </c>
      <c r="K50">
        <v>3726</v>
      </c>
    </row>
    <row r="51" spans="1:11" x14ac:dyDescent="0.35">
      <c r="A51" s="3"/>
    </row>
    <row r="52" spans="1:11" x14ac:dyDescent="0.35">
      <c r="A52" s="3"/>
    </row>
    <row r="53" spans="1:11" x14ac:dyDescent="0.35">
      <c r="A53" s="3"/>
    </row>
    <row r="54" spans="1:11" x14ac:dyDescent="0.35">
      <c r="A54" s="3"/>
    </row>
    <row r="55" spans="1:11" x14ac:dyDescent="0.35">
      <c r="A55" s="1" t="s">
        <v>25</v>
      </c>
    </row>
    <row r="56" spans="1:11" s="6" customFormat="1" x14ac:dyDescent="0.35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5">
      <c r="A57" s="3" t="s">
        <v>10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5">
      <c r="A58" s="3" t="s">
        <v>11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 x14ac:dyDescent="0.35">
      <c r="A59" s="3" t="s">
        <v>35</v>
      </c>
      <c r="B59">
        <v>177</v>
      </c>
      <c r="C59">
        <v>277</v>
      </c>
      <c r="E59">
        <v>99</v>
      </c>
      <c r="H59">
        <v>1043</v>
      </c>
      <c r="I59">
        <v>1219</v>
      </c>
      <c r="J59">
        <v>1484</v>
      </c>
      <c r="K59">
        <v>1648</v>
      </c>
    </row>
    <row r="60" spans="1:11" x14ac:dyDescent="0.35">
      <c r="A60" s="3" t="s">
        <v>36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 x14ac:dyDescent="0.35">
      <c r="A61" s="1" t="s">
        <v>12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 x14ac:dyDescent="0.35">
      <c r="A62" s="3" t="s">
        <v>13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 x14ac:dyDescent="0.35">
      <c r="A63" s="3" t="s">
        <v>14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5">
      <c r="A64" s="3" t="s">
        <v>15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 x14ac:dyDescent="0.35">
      <c r="A65" s="3" t="s">
        <v>37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 x14ac:dyDescent="0.35">
      <c r="A66" s="1" t="s">
        <v>12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3" customFormat="1" x14ac:dyDescent="0.35">
      <c r="A67" s="3" t="s">
        <v>42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5">
      <c r="A68" s="3" t="s">
        <v>29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5">
      <c r="A69" s="2" t="s">
        <v>51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4442</v>
      </c>
    </row>
    <row r="70" spans="1:11" x14ac:dyDescent="0.35">
      <c r="A70" s="2" t="s">
        <v>38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5">
      <c r="A71" s="2" t="s">
        <v>39</v>
      </c>
    </row>
    <row r="72" spans="1:11" x14ac:dyDescent="0.35">
      <c r="A72" s="2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3"/>
    </row>
    <row r="75" spans="1:11" x14ac:dyDescent="0.35">
      <c r="A75" s="3"/>
    </row>
    <row r="76" spans="1:11" x14ac:dyDescent="0.35">
      <c r="A76" s="3"/>
    </row>
    <row r="77" spans="1:11" x14ac:dyDescent="0.35">
      <c r="A77" s="3"/>
    </row>
    <row r="78" spans="1:11" x14ac:dyDescent="0.35">
      <c r="A78" s="3"/>
    </row>
    <row r="79" spans="1:11" x14ac:dyDescent="0.35">
      <c r="A79" s="3"/>
    </row>
    <row r="80" spans="1:11" x14ac:dyDescent="0.35">
      <c r="A80" s="1" t="s">
        <v>26</v>
      </c>
    </row>
    <row r="81" spans="1:11" s="6" customFormat="1" x14ac:dyDescent="0.35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5">
      <c r="A82" s="3" t="s">
        <v>17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3" customFormat="1" x14ac:dyDescent="0.35">
      <c r="A83" s="3" t="s">
        <v>18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3" customFormat="1" x14ac:dyDescent="0.35">
      <c r="A84" s="3" t="s">
        <v>19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 x14ac:dyDescent="0.35">
      <c r="A85" s="3" t="s">
        <v>20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 x14ac:dyDescent="0.35">
      <c r="A86" s="3"/>
    </row>
    <row r="87" spans="1:11" x14ac:dyDescent="0.35">
      <c r="A87" s="3"/>
    </row>
    <row r="88" spans="1:11" x14ac:dyDescent="0.35">
      <c r="A88" s="3"/>
    </row>
    <row r="89" spans="1:11" x14ac:dyDescent="0.35">
      <c r="A89" s="3"/>
    </row>
    <row r="90" spans="1:11" s="1" customFormat="1" x14ac:dyDescent="0.35">
      <c r="A90" s="1" t="s">
        <v>41</v>
      </c>
      <c r="B90">
        <v>832.17</v>
      </c>
      <c r="C90">
        <v>872.61</v>
      </c>
      <c r="D90">
        <v>1276.1099999999999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35">
      <c r="A92" s="1" t="s">
        <v>40</v>
      </c>
    </row>
    <row r="93" spans="1:11" x14ac:dyDescent="0.35">
      <c r="A93" s="2" t="s">
        <v>53</v>
      </c>
      <c r="B93" s="7">
        <v>216.39</v>
      </c>
      <c r="C93" s="7">
        <v>216.43</v>
      </c>
      <c r="D93" s="7">
        <v>216.45</v>
      </c>
      <c r="E93" s="7">
        <v>216.47</v>
      </c>
      <c r="F93" s="7">
        <v>216.48</v>
      </c>
      <c r="G93" s="7">
        <v>234.96</v>
      </c>
      <c r="H93" s="7">
        <v>234.96</v>
      </c>
      <c r="I93" s="7">
        <v>234.96</v>
      </c>
      <c r="J93" s="7">
        <v>234.96</v>
      </c>
      <c r="K93" s="7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D1F7-B7F2-4914-B16F-C3D7BA3D5106}">
  <dimension ref="A1:AI106"/>
  <sheetViews>
    <sheetView showGridLines="0" topLeftCell="A89" zoomScale="76" workbookViewId="0">
      <selection activeCell="C94" sqref="C94"/>
    </sheetView>
  </sheetViews>
  <sheetFormatPr defaultRowHeight="14.5" x14ac:dyDescent="0.35"/>
  <cols>
    <col min="1" max="1" width="2" bestFit="1" customWidth="1"/>
    <col min="2" max="2" width="26.90625" bestFit="1" customWidth="1"/>
    <col min="3" max="10" width="11.81640625" bestFit="1" customWidth="1"/>
    <col min="11" max="12" width="11.90625" bestFit="1" customWidth="1"/>
    <col min="13" max="13" width="2.26953125" bestFit="1" customWidth="1"/>
    <col min="14" max="14" width="1.54296875" bestFit="1" customWidth="1"/>
    <col min="16" max="16" width="5.36328125" bestFit="1" customWidth="1"/>
    <col min="18" max="18" width="24.6328125" bestFit="1" customWidth="1"/>
    <col min="23" max="23" width="7.7265625" bestFit="1" customWidth="1"/>
    <col min="24" max="26" width="10.7265625" bestFit="1" customWidth="1"/>
    <col min="27" max="28" width="10.81640625" bestFit="1" customWidth="1"/>
    <col min="29" max="29" width="10.7265625" bestFit="1" customWidth="1"/>
    <col min="30" max="33" width="11.08984375" bestFit="1" customWidth="1"/>
    <col min="34" max="35" width="7.54296875" bestFit="1" customWidth="1"/>
  </cols>
  <sheetData>
    <row r="1" spans="1:16" x14ac:dyDescent="0.35">
      <c r="P1" s="16">
        <f>IFERROR(SUM(#REF!),0)</f>
        <v>0</v>
      </c>
    </row>
    <row r="2" spans="1:16" x14ac:dyDescent="0.35">
      <c r="B2" s="172" t="str">
        <f>"Historical Financial Statements -"&amp;'Data Sheet'!B1</f>
        <v>Historical Financial Statements -HINDUSTAN UNILEVER LTD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</row>
    <row r="3" spans="1:16" x14ac:dyDescent="0.35">
      <c r="B3" s="9" t="s">
        <v>55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</row>
    <row r="4" spans="1:16" x14ac:dyDescent="0.35">
      <c r="A4" t="s">
        <v>57</v>
      </c>
      <c r="B4" s="19" t="s">
        <v>56</v>
      </c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6" x14ac:dyDescent="0.35">
      <c r="B5" t="s">
        <v>1</v>
      </c>
      <c r="C5" s="12">
        <f>IFERROR('Data Sheet'!B17,0)</f>
        <v>32186</v>
      </c>
      <c r="D5" s="12">
        <f>IFERROR('Data Sheet'!C17,0)</f>
        <v>33162</v>
      </c>
      <c r="E5" s="12">
        <f>IFERROR('Data Sheet'!D17,0)</f>
        <v>35545</v>
      </c>
      <c r="F5" s="12">
        <f>IFERROR('Data Sheet'!E17,0)</f>
        <v>39310</v>
      </c>
      <c r="G5" s="12">
        <f>IFERROR('Data Sheet'!F17,0)</f>
        <v>39783</v>
      </c>
      <c r="H5" s="12">
        <f>IFERROR('Data Sheet'!G17,0)</f>
        <v>47028</v>
      </c>
      <c r="I5" s="12">
        <f>IFERROR('Data Sheet'!H17,0)</f>
        <v>52446</v>
      </c>
      <c r="J5" s="12">
        <f>IFERROR('Data Sheet'!I17,0)</f>
        <v>60580</v>
      </c>
      <c r="K5" s="12">
        <f>IFERROR('Data Sheet'!J17,0)</f>
        <v>61896</v>
      </c>
      <c r="L5" s="12">
        <f>IFERROR('Data Sheet'!K17,0)</f>
        <v>63121</v>
      </c>
    </row>
    <row r="6" spans="1:16" x14ac:dyDescent="0.35">
      <c r="B6" s="13" t="s">
        <v>58</v>
      </c>
      <c r="C6" s="13" t="s">
        <v>59</v>
      </c>
      <c r="D6" s="14">
        <f>D5/C5-1</f>
        <v>3.03237432424035E-2</v>
      </c>
      <c r="E6" s="14">
        <f t="shared" ref="E6:L6" si="0">E5/D5-1</f>
        <v>7.1859357095470644E-2</v>
      </c>
      <c r="F6" s="14">
        <f t="shared" si="0"/>
        <v>0.1059220706147137</v>
      </c>
      <c r="G6" s="14">
        <f t="shared" si="0"/>
        <v>1.2032561689137689E-2</v>
      </c>
      <c r="H6" s="14">
        <f t="shared" si="0"/>
        <v>0.18211296282331646</v>
      </c>
      <c r="I6" s="14">
        <f t="shared" si="0"/>
        <v>0.11520796121459553</v>
      </c>
      <c r="J6" s="14">
        <f t="shared" si="0"/>
        <v>0.15509285741524614</v>
      </c>
      <c r="K6" s="14">
        <f t="shared" si="0"/>
        <v>2.1723341036645749E-2</v>
      </c>
      <c r="L6" s="14">
        <f t="shared" si="0"/>
        <v>1.9791262763344974E-2</v>
      </c>
      <c r="M6" s="13" t="s">
        <v>54</v>
      </c>
    </row>
    <row r="8" spans="1:16" x14ac:dyDescent="0.35">
      <c r="B8" t="s">
        <v>60</v>
      </c>
      <c r="C8" s="12">
        <f>IFERROR(SUM('Data Sheet'!B18,'Data Sheet'!B20:B22)-1*'Data Sheet'!B19,0)</f>
        <v>18222</v>
      </c>
      <c r="D8" s="12">
        <f>IFERROR(SUM('Data Sheet'!C18,'Data Sheet'!C20:C22)-1*'Data Sheet'!C19,0)</f>
        <v>18675</v>
      </c>
      <c r="E8" s="12">
        <f>IFERROR(SUM('Data Sheet'!D18,'Data Sheet'!D20:D22)-1*'Data Sheet'!D19,0)</f>
        <v>19314</v>
      </c>
      <c r="F8" s="12">
        <f>IFERROR(SUM('Data Sheet'!E18,'Data Sheet'!E20:E22)-1*'Data Sheet'!E19,0)</f>
        <v>21081</v>
      </c>
      <c r="G8" s="12">
        <f>IFERROR(SUM('Data Sheet'!F18,'Data Sheet'!F20:F22)-1*'Data Sheet'!F19,0)</f>
        <v>20614</v>
      </c>
      <c r="H8" s="12">
        <f>IFERROR(SUM('Data Sheet'!G18,'Data Sheet'!G20:G22)-1*'Data Sheet'!G19,0)</f>
        <v>25301</v>
      </c>
      <c r="I8" s="12">
        <f>IFERROR(SUM('Data Sheet'!H18,'Data Sheet'!H20:H22)-1*'Data Sheet'!H19,0)</f>
        <v>29066</v>
      </c>
      <c r="J8" s="12">
        <f>IFERROR(SUM('Data Sheet'!I18,'Data Sheet'!I20:I22)-1*'Data Sheet'!I19,0)</f>
        <v>35381</v>
      </c>
      <c r="K8" s="12">
        <f>IFERROR(SUM('Data Sheet'!J18,'Data Sheet'!J20:J22)-1*'Data Sheet'!J19,0)</f>
        <v>33651</v>
      </c>
      <c r="L8" s="12">
        <f>IFERROR(SUM('Data Sheet'!K18,'Data Sheet'!K20:K22)-1*'Data Sheet'!K19,0)</f>
        <v>34529</v>
      </c>
    </row>
    <row r="9" spans="1:16" x14ac:dyDescent="0.35">
      <c r="B9" s="13" t="s">
        <v>61</v>
      </c>
      <c r="C9" s="14">
        <f>C8/C5</f>
        <v>0.56614677188839868</v>
      </c>
      <c r="D9" s="14">
        <f t="shared" ref="D9:L9" si="1">D8/D5</f>
        <v>0.5631445630540981</v>
      </c>
      <c r="E9" s="14">
        <f t="shared" si="1"/>
        <v>0.54336756224504146</v>
      </c>
      <c r="F9" s="14">
        <f t="shared" si="1"/>
        <v>0.53627575680488426</v>
      </c>
      <c r="G9" s="14">
        <f t="shared" si="1"/>
        <v>0.51816102355277383</v>
      </c>
      <c r="H9" s="14">
        <f t="shared" si="1"/>
        <v>0.53799863910861612</v>
      </c>
      <c r="I9" s="14">
        <f t="shared" si="1"/>
        <v>0.55420813789421497</v>
      </c>
      <c r="J9" s="14">
        <f t="shared" si="1"/>
        <v>0.58403763618355897</v>
      </c>
      <c r="K9" s="14">
        <f t="shared" si="1"/>
        <v>0.54367002714230317</v>
      </c>
      <c r="L9" s="14">
        <f t="shared" si="1"/>
        <v>0.54702872261212587</v>
      </c>
    </row>
    <row r="10" spans="1:16" x14ac:dyDescent="0.35">
      <c r="E10" t="s">
        <v>54</v>
      </c>
    </row>
    <row r="11" spans="1:16" x14ac:dyDescent="0.35">
      <c r="B11" t="s">
        <v>62</v>
      </c>
      <c r="C11" s="15">
        <f>C5-C8</f>
        <v>13964</v>
      </c>
      <c r="D11" s="15">
        <f t="shared" ref="D11:L11" si="2">D5-D8</f>
        <v>14487</v>
      </c>
      <c r="E11" s="15">
        <f t="shared" si="2"/>
        <v>16231</v>
      </c>
      <c r="F11" s="15">
        <f t="shared" si="2"/>
        <v>18229</v>
      </c>
      <c r="G11" s="15">
        <f t="shared" si="2"/>
        <v>19169</v>
      </c>
      <c r="H11" s="15">
        <f t="shared" si="2"/>
        <v>21727</v>
      </c>
      <c r="I11" s="15">
        <f t="shared" si="2"/>
        <v>23380</v>
      </c>
      <c r="J11" s="15">
        <f t="shared" si="2"/>
        <v>25199</v>
      </c>
      <c r="K11" s="15">
        <f t="shared" si="2"/>
        <v>28245</v>
      </c>
      <c r="L11" s="15">
        <f t="shared" si="2"/>
        <v>28592</v>
      </c>
    </row>
    <row r="12" spans="1:16" x14ac:dyDescent="0.35">
      <c r="B12" s="13" t="s">
        <v>63</v>
      </c>
      <c r="C12" s="14">
        <f>C11/C5</f>
        <v>0.43385322811160132</v>
      </c>
      <c r="D12" s="14">
        <f t="shared" ref="D12:L12" si="3">D11/D5</f>
        <v>0.43685543694590195</v>
      </c>
      <c r="E12" s="14">
        <f t="shared" si="3"/>
        <v>0.45663243775495849</v>
      </c>
      <c r="F12" s="14">
        <f t="shared" si="3"/>
        <v>0.46372424319511574</v>
      </c>
      <c r="G12" s="14">
        <f t="shared" si="3"/>
        <v>0.48183897644722617</v>
      </c>
      <c r="H12" s="14">
        <f t="shared" si="3"/>
        <v>0.46200136089138388</v>
      </c>
      <c r="I12" s="14">
        <f t="shared" si="3"/>
        <v>0.44579186210578498</v>
      </c>
      <c r="J12" s="14">
        <f t="shared" si="3"/>
        <v>0.41596236381644108</v>
      </c>
      <c r="K12" s="14">
        <f t="shared" si="3"/>
        <v>0.45632997285769678</v>
      </c>
      <c r="L12" s="14">
        <f t="shared" si="3"/>
        <v>0.45297127738787407</v>
      </c>
    </row>
    <row r="13" spans="1:16" x14ac:dyDescent="0.35">
      <c r="G13" t="s">
        <v>54</v>
      </c>
    </row>
    <row r="14" spans="1:16" x14ac:dyDescent="0.35">
      <c r="B14" t="s">
        <v>64</v>
      </c>
      <c r="C14" s="15">
        <f>IFERROR(SUM('Data Sheet'!B23:B24),0)</f>
        <v>8054</v>
      </c>
      <c r="D14" s="15">
        <f>IFERROR(SUM('Data Sheet'!C23:C24),0)</f>
        <v>8159</v>
      </c>
      <c r="E14" s="15">
        <f>IFERROR(SUM('Data Sheet'!D23:D24),0)</f>
        <v>8732</v>
      </c>
      <c r="F14" s="15">
        <f>IFERROR(SUM('Data Sheet'!E23:E24),0)</f>
        <v>9349</v>
      </c>
      <c r="G14" s="15">
        <f>IFERROR(SUM('Data Sheet'!F23:F24),0)</f>
        <v>9308</v>
      </c>
      <c r="H14" s="15">
        <f>IFERROR(SUM('Data Sheet'!G23:G24),0)</f>
        <v>10101</v>
      </c>
      <c r="I14" s="15">
        <f>IFERROR(SUM('Data Sheet'!H23:H24),0)</f>
        <v>10523</v>
      </c>
      <c r="J14" s="15">
        <f>IFERROR(SUM('Data Sheet'!I23:I24),0)</f>
        <v>11052</v>
      </c>
      <c r="K14" s="15">
        <f>IFERROR(SUM('Data Sheet'!J23:J24),0)</f>
        <v>13586</v>
      </c>
      <c r="L14" s="15">
        <f>IFERROR(SUM('Data Sheet'!K23:K24),0)</f>
        <v>13749</v>
      </c>
      <c r="M14" t="s">
        <v>54</v>
      </c>
    </row>
    <row r="15" spans="1:16" x14ac:dyDescent="0.35">
      <c r="B15" s="13" t="s">
        <v>65</v>
      </c>
      <c r="C15" s="14">
        <f>C14/C5</f>
        <v>0.25023302056794877</v>
      </c>
      <c r="D15" s="14">
        <f t="shared" ref="D15:L15" si="4">D14/D5</f>
        <v>0.24603461793619202</v>
      </c>
      <c r="E15" s="14">
        <f t="shared" si="4"/>
        <v>0.24566043044028696</v>
      </c>
      <c r="F15" s="14">
        <f t="shared" si="4"/>
        <v>0.23782752480284916</v>
      </c>
      <c r="G15" s="14">
        <f t="shared" si="4"/>
        <v>0.23396928336224015</v>
      </c>
      <c r="H15" s="14">
        <f t="shared" si="4"/>
        <v>0.21478693544271499</v>
      </c>
      <c r="I15" s="14">
        <f t="shared" si="4"/>
        <v>0.20064447240971667</v>
      </c>
      <c r="J15" s="14">
        <f t="shared" si="4"/>
        <v>0.18243644767249917</v>
      </c>
      <c r="K15" s="14">
        <f t="shared" si="4"/>
        <v>0.21949722114514669</v>
      </c>
      <c r="L15" s="14">
        <f t="shared" si="4"/>
        <v>0.21781974303322191</v>
      </c>
    </row>
    <row r="17" spans="2:12" x14ac:dyDescent="0.35">
      <c r="B17" t="s">
        <v>66</v>
      </c>
      <c r="C17" s="15">
        <f>C11-C14</f>
        <v>5910</v>
      </c>
      <c r="D17" s="15">
        <f t="shared" ref="D17:L17" si="5">D11-D14</f>
        <v>6328</v>
      </c>
      <c r="E17" s="15">
        <f t="shared" si="5"/>
        <v>7499</v>
      </c>
      <c r="F17" s="15">
        <f t="shared" si="5"/>
        <v>8880</v>
      </c>
      <c r="G17" s="15">
        <f t="shared" si="5"/>
        <v>9861</v>
      </c>
      <c r="H17" s="15">
        <f>H11-H14</f>
        <v>11626</v>
      </c>
      <c r="I17" s="15">
        <f t="shared" si="5"/>
        <v>12857</v>
      </c>
      <c r="J17" s="15">
        <f t="shared" si="5"/>
        <v>14147</v>
      </c>
      <c r="K17" s="15">
        <f t="shared" si="5"/>
        <v>14659</v>
      </c>
      <c r="L17" s="15">
        <f t="shared" si="5"/>
        <v>14843</v>
      </c>
    </row>
    <row r="18" spans="2:12" x14ac:dyDescent="0.35">
      <c r="B18" s="13" t="s">
        <v>67</v>
      </c>
      <c r="C18" s="14">
        <f>C17/C5</f>
        <v>0.18362020754365252</v>
      </c>
      <c r="D18" s="14">
        <f t="shared" ref="D18:L18" si="6">D17/D5</f>
        <v>0.1908208190097099</v>
      </c>
      <c r="E18" s="14">
        <f t="shared" si="6"/>
        <v>0.21097200731467156</v>
      </c>
      <c r="F18" s="14">
        <f t="shared" si="6"/>
        <v>0.2258967183922666</v>
      </c>
      <c r="G18" s="14">
        <f t="shared" si="6"/>
        <v>0.24786969308498605</v>
      </c>
      <c r="H18" s="14">
        <f t="shared" si="6"/>
        <v>0.24721442544866887</v>
      </c>
      <c r="I18" s="14">
        <f t="shared" si="6"/>
        <v>0.24514738969606834</v>
      </c>
      <c r="J18" s="14">
        <f t="shared" si="6"/>
        <v>0.23352591614394189</v>
      </c>
      <c r="K18" s="14">
        <f t="shared" si="6"/>
        <v>0.23683275171255008</v>
      </c>
      <c r="L18" s="14">
        <f t="shared" si="6"/>
        <v>0.23515153435465216</v>
      </c>
    </row>
    <row r="20" spans="2:12" x14ac:dyDescent="0.35">
      <c r="B20" t="s">
        <v>6</v>
      </c>
      <c r="C20" s="15">
        <f>IFERROR('Data Sheet'!B27,0)</f>
        <v>17</v>
      </c>
      <c r="D20" s="15">
        <f>IFERROR('Data Sheet'!C27,0)</f>
        <v>35</v>
      </c>
      <c r="E20" s="15">
        <f>IFERROR('Data Sheet'!D27,0)</f>
        <v>26</v>
      </c>
      <c r="F20" s="15">
        <f>IFERROR('Data Sheet'!E27,0)</f>
        <v>33</v>
      </c>
      <c r="G20" s="15">
        <f>IFERROR('Data Sheet'!F27,0)</f>
        <v>118</v>
      </c>
      <c r="H20" s="15">
        <f>IFERROR('Data Sheet'!G27,0)</f>
        <v>117</v>
      </c>
      <c r="I20" s="15">
        <f>IFERROR('Data Sheet'!H27,0)</f>
        <v>106</v>
      </c>
      <c r="J20" s="15">
        <f>IFERROR('Data Sheet'!I27,0)</f>
        <v>114</v>
      </c>
      <c r="K20" s="15">
        <f>IFERROR('Data Sheet'!J27,0)</f>
        <v>334</v>
      </c>
      <c r="L20" s="15">
        <f>IFERROR('Data Sheet'!K27,0)</f>
        <v>395</v>
      </c>
    </row>
    <row r="21" spans="2:12" x14ac:dyDescent="0.35">
      <c r="B21" s="13" t="s">
        <v>68</v>
      </c>
      <c r="C21" s="14">
        <f>C20/C5</f>
        <v>5.2817995401727462E-4</v>
      </c>
      <c r="D21" s="14">
        <f t="shared" ref="D21:L21" si="7">D20/D5</f>
        <v>1.0554248839032628E-3</v>
      </c>
      <c r="E21" s="14">
        <f t="shared" si="7"/>
        <v>7.3146715431143621E-4</v>
      </c>
      <c r="F21" s="14">
        <f t="shared" si="7"/>
        <v>8.3948104807936915E-4</v>
      </c>
      <c r="G21" s="14">
        <f t="shared" si="7"/>
        <v>2.9660910439132291E-3</v>
      </c>
      <c r="H21" s="14">
        <f t="shared" si="7"/>
        <v>2.4878795611125285E-3</v>
      </c>
      <c r="I21" s="14">
        <f>I20/I5</f>
        <v>2.0211264920108303E-3</v>
      </c>
      <c r="J21" s="14">
        <f t="shared" si="7"/>
        <v>1.881809177946517E-3</v>
      </c>
      <c r="K21" s="14">
        <f t="shared" si="7"/>
        <v>5.3961483779242604E-3</v>
      </c>
      <c r="L21" s="14">
        <f t="shared" si="7"/>
        <v>6.2578222778473091E-3</v>
      </c>
    </row>
    <row r="23" spans="2:12" x14ac:dyDescent="0.35">
      <c r="B23" t="s">
        <v>5</v>
      </c>
      <c r="C23" s="15">
        <f>IFERROR('Data Sheet'!B26,0)</f>
        <v>353</v>
      </c>
      <c r="D23" s="15">
        <f>IFERROR('Data Sheet'!C26,0)</f>
        <v>432</v>
      </c>
      <c r="E23" s="15">
        <f>IFERROR('Data Sheet'!D26,0)</f>
        <v>520</v>
      </c>
      <c r="F23" s="15">
        <f>IFERROR('Data Sheet'!E26,0)</f>
        <v>565</v>
      </c>
      <c r="G23" s="15">
        <f>IFERROR('Data Sheet'!F26,0)</f>
        <v>1002</v>
      </c>
      <c r="H23" s="15">
        <f>IFERROR('Data Sheet'!G26,0)</f>
        <v>1074</v>
      </c>
      <c r="I23" s="15">
        <f>IFERROR('Data Sheet'!H26,0)</f>
        <v>1091</v>
      </c>
      <c r="J23" s="15">
        <f>IFERROR('Data Sheet'!I26,0)</f>
        <v>1137</v>
      </c>
      <c r="K23" s="15">
        <f>IFERROR('Data Sheet'!J26,0)</f>
        <v>1216</v>
      </c>
      <c r="L23" s="15">
        <f>IFERROR('Data Sheet'!K26,0)</f>
        <v>1355</v>
      </c>
    </row>
    <row r="24" spans="2:12" x14ac:dyDescent="0.35">
      <c r="B24" s="13" t="s">
        <v>69</v>
      </c>
      <c r="C24" s="14">
        <f>C23/C5</f>
        <v>1.0967501398123409E-2</v>
      </c>
      <c r="D24" s="14">
        <f t="shared" ref="D24:L24" si="8">D23/D5</f>
        <v>1.3026958567034558E-2</v>
      </c>
      <c r="E24" s="14">
        <f t="shared" si="8"/>
        <v>1.4629343086228723E-2</v>
      </c>
      <c r="F24" s="14">
        <f t="shared" si="8"/>
        <v>1.437293309590435E-2</v>
      </c>
      <c r="G24" s="14">
        <f t="shared" si="8"/>
        <v>2.5186637508483524E-2</v>
      </c>
      <c r="H24" s="14">
        <f t="shared" si="8"/>
        <v>2.2837458535340648E-2</v>
      </c>
      <c r="I24" s="14">
        <f t="shared" si="8"/>
        <v>2.0802349082866187E-2</v>
      </c>
      <c r="J24" s="14">
        <f t="shared" si="8"/>
        <v>1.8768570485308684E-2</v>
      </c>
      <c r="K24" s="14">
        <f t="shared" si="8"/>
        <v>1.9645857567532635E-2</v>
      </c>
      <c r="L24" s="14">
        <f t="shared" si="8"/>
        <v>2.1466706801223048E-2</v>
      </c>
    </row>
    <row r="26" spans="2:12" x14ac:dyDescent="0.35">
      <c r="B26" t="s">
        <v>70</v>
      </c>
      <c r="C26" s="15">
        <f>IFERROR(C17-SUM(C20,C23),0)</f>
        <v>5540</v>
      </c>
      <c r="D26" s="15">
        <f t="shared" ref="D26:L26" si="9">IFERROR(D17-SUM(D20,D23),0)</f>
        <v>5861</v>
      </c>
      <c r="E26" s="15">
        <f t="shared" si="9"/>
        <v>6953</v>
      </c>
      <c r="F26" s="15">
        <f t="shared" si="9"/>
        <v>8282</v>
      </c>
      <c r="G26" s="15">
        <f t="shared" si="9"/>
        <v>8741</v>
      </c>
      <c r="H26" s="15">
        <f t="shared" si="9"/>
        <v>10435</v>
      </c>
      <c r="I26" s="15">
        <f t="shared" si="9"/>
        <v>11660</v>
      </c>
      <c r="J26" s="15">
        <f t="shared" si="9"/>
        <v>12896</v>
      </c>
      <c r="K26" s="15">
        <f t="shared" si="9"/>
        <v>13109</v>
      </c>
      <c r="L26" s="15">
        <f t="shared" si="9"/>
        <v>13093</v>
      </c>
    </row>
    <row r="27" spans="2:12" x14ac:dyDescent="0.35">
      <c r="B27" s="13" t="s">
        <v>71</v>
      </c>
      <c r="C27" s="14">
        <f>C26/C5</f>
        <v>0.17212452619151183</v>
      </c>
      <c r="D27" s="14">
        <f t="shared" ref="D27:L27" si="10">D26/D5</f>
        <v>0.17673843555877208</v>
      </c>
      <c r="E27" s="14">
        <f t="shared" si="10"/>
        <v>0.19561119707413138</v>
      </c>
      <c r="F27" s="14">
        <f t="shared" si="10"/>
        <v>0.21068430424828288</v>
      </c>
      <c r="G27" s="14">
        <f t="shared" si="10"/>
        <v>0.21971696453258929</v>
      </c>
      <c r="H27" s="14">
        <f t="shared" si="10"/>
        <v>0.22188908735221571</v>
      </c>
      <c r="I27" s="14">
        <f t="shared" si="10"/>
        <v>0.22232391412119132</v>
      </c>
      <c r="J27" s="14">
        <f t="shared" si="10"/>
        <v>0.21287553648068669</v>
      </c>
      <c r="K27" s="14">
        <f t="shared" si="10"/>
        <v>0.2117907457670932</v>
      </c>
      <c r="L27" s="14">
        <f t="shared" si="10"/>
        <v>0.20742700527558183</v>
      </c>
    </row>
    <row r="28" spans="2:12" x14ac:dyDescent="0.35">
      <c r="D28" t="s">
        <v>54</v>
      </c>
    </row>
    <row r="29" spans="2:12" x14ac:dyDescent="0.35">
      <c r="B29" t="s">
        <v>8</v>
      </c>
      <c r="C29" s="15">
        <f>IFERROR('Data Sheet'!B29,0)</f>
        <v>1875</v>
      </c>
      <c r="D29" s="15">
        <f>IFERROR('Data Sheet'!C29,0)</f>
        <v>1977</v>
      </c>
      <c r="E29" s="15">
        <f>IFERROR('Data Sheet'!D29,0)</f>
        <v>2079</v>
      </c>
      <c r="F29" s="15">
        <f>IFERROR('Data Sheet'!E29,0)</f>
        <v>2544</v>
      </c>
      <c r="G29" s="15">
        <f>IFERROR('Data Sheet'!F29,0)</f>
        <v>2409</v>
      </c>
      <c r="H29" s="15">
        <f>IFERROR('Data Sheet'!G29,0)</f>
        <v>2606</v>
      </c>
      <c r="I29" s="15">
        <f>IFERROR('Data Sheet'!H29,0)</f>
        <v>2987</v>
      </c>
      <c r="J29" s="15">
        <f>IFERROR('Data Sheet'!I29,0)</f>
        <v>3201</v>
      </c>
      <c r="K29" s="15">
        <f>IFERROR('Data Sheet'!J29,0)</f>
        <v>3644</v>
      </c>
      <c r="L29" s="15">
        <f>IFERROR('Data Sheet'!K29,0)</f>
        <v>3744</v>
      </c>
    </row>
    <row r="30" spans="2:12" x14ac:dyDescent="0.35">
      <c r="B30" s="13" t="s">
        <v>72</v>
      </c>
      <c r="C30" s="14">
        <f>C29/C26</f>
        <v>0.33844765342960287</v>
      </c>
      <c r="D30" s="14">
        <f t="shared" ref="D30:L30" si="11">D29/D26</f>
        <v>0.33731445145879541</v>
      </c>
      <c r="E30" s="14">
        <f t="shared" si="11"/>
        <v>0.29900762260894576</v>
      </c>
      <c r="F30" s="14">
        <f t="shared" si="11"/>
        <v>0.30717218063269741</v>
      </c>
      <c r="G30" s="14">
        <f t="shared" si="11"/>
        <v>0.27559775769362771</v>
      </c>
      <c r="H30" s="14">
        <f t="shared" si="11"/>
        <v>0.24973646382367035</v>
      </c>
      <c r="I30" s="14">
        <f t="shared" si="11"/>
        <v>0.25617495711835336</v>
      </c>
      <c r="J30" s="14">
        <f t="shared" si="11"/>
        <v>0.24821650124069478</v>
      </c>
      <c r="K30" s="14">
        <f t="shared" si="11"/>
        <v>0.27797696239224962</v>
      </c>
      <c r="L30" s="14">
        <f t="shared" si="11"/>
        <v>0.28595432673947913</v>
      </c>
    </row>
    <row r="32" spans="2:12" x14ac:dyDescent="0.35">
      <c r="B32" t="s">
        <v>73</v>
      </c>
      <c r="C32" s="15">
        <f>IFERROR(C26-C29,0)</f>
        <v>3665</v>
      </c>
      <c r="D32" s="15">
        <f t="shared" ref="D32:L32" si="12">IFERROR(D26-D29,0)</f>
        <v>3884</v>
      </c>
      <c r="E32" s="15">
        <f t="shared" si="12"/>
        <v>4874</v>
      </c>
      <c r="F32" s="15">
        <f t="shared" si="12"/>
        <v>5738</v>
      </c>
      <c r="G32" s="15">
        <f t="shared" si="12"/>
        <v>6332</v>
      </c>
      <c r="H32" s="15">
        <f t="shared" si="12"/>
        <v>7829</v>
      </c>
      <c r="I32" s="15">
        <f t="shared" si="12"/>
        <v>8673</v>
      </c>
      <c r="J32" s="15">
        <f t="shared" si="12"/>
        <v>9695</v>
      </c>
      <c r="K32" s="15">
        <f t="shared" si="12"/>
        <v>9465</v>
      </c>
      <c r="L32" s="15">
        <f t="shared" si="12"/>
        <v>9349</v>
      </c>
    </row>
    <row r="33" spans="1:14" x14ac:dyDescent="0.35">
      <c r="B33" s="13" t="s">
        <v>74</v>
      </c>
      <c r="C33" s="14">
        <f>C32/C5</f>
        <v>0.11386938420431243</v>
      </c>
      <c r="D33" s="14">
        <f t="shared" ref="D33:L33" si="13">D32/D5</f>
        <v>0.11712200711657922</v>
      </c>
      <c r="E33" s="14">
        <f t="shared" si="13"/>
        <v>0.1371219580813054</v>
      </c>
      <c r="F33" s="14">
        <f t="shared" si="13"/>
        <v>0.14596794708725516</v>
      </c>
      <c r="G33" s="14">
        <f t="shared" si="13"/>
        <v>0.15916346178015736</v>
      </c>
      <c r="H33" s="14">
        <f t="shared" si="13"/>
        <v>0.16647529131581185</v>
      </c>
      <c r="I33" s="14">
        <f t="shared" si="13"/>
        <v>0.16537009495481067</v>
      </c>
      <c r="J33" s="14">
        <f t="shared" si="13"/>
        <v>0.16003631561571477</v>
      </c>
      <c r="K33" s="14">
        <f t="shared" si="13"/>
        <v>0.15291779759596744</v>
      </c>
      <c r="L33" s="14">
        <f t="shared" si="13"/>
        <v>0.14811235563441644</v>
      </c>
    </row>
    <row r="34" spans="1:14" x14ac:dyDescent="0.35">
      <c r="N34" t="s">
        <v>54</v>
      </c>
    </row>
    <row r="35" spans="1:14" x14ac:dyDescent="0.35">
      <c r="B35" t="s">
        <v>75</v>
      </c>
      <c r="C35" s="15">
        <f>IFERROR('Data Sheet'!B93,0)</f>
        <v>216.39</v>
      </c>
      <c r="D35" s="15">
        <f>IFERROR('Data Sheet'!C93,0)</f>
        <v>216.43</v>
      </c>
      <c r="E35" s="15">
        <f>IFERROR('Data Sheet'!D93,0)</f>
        <v>216.45</v>
      </c>
      <c r="F35" s="15">
        <f>IFERROR('Data Sheet'!E93,0)</f>
        <v>216.47</v>
      </c>
      <c r="G35" s="15">
        <f>IFERROR('Data Sheet'!F93,0)</f>
        <v>216.48</v>
      </c>
      <c r="H35" s="15">
        <f>IFERROR('Data Sheet'!G93,0)</f>
        <v>234.96</v>
      </c>
      <c r="I35" s="15">
        <f>IFERROR('Data Sheet'!H93,0)</f>
        <v>234.96</v>
      </c>
      <c r="J35" s="15">
        <f>IFERROR('Data Sheet'!I93,0)</f>
        <v>234.96</v>
      </c>
      <c r="K35" s="15">
        <f>IFERROR('Data Sheet'!J93,0)</f>
        <v>234.96</v>
      </c>
      <c r="L35" s="15">
        <f>IFERROR('Data Sheet'!K93,0)</f>
        <v>234.96</v>
      </c>
    </row>
    <row r="36" spans="1:14" x14ac:dyDescent="0.35"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4" x14ac:dyDescent="0.35">
      <c r="B37" t="s">
        <v>76</v>
      </c>
      <c r="C37" s="15">
        <f>IFERROR(C32/C35,0)</f>
        <v>16.937011876704101</v>
      </c>
      <c r="D37" s="15">
        <f t="shared" ref="D37:L37" si="14">IFERROR(D32/D35,0)</f>
        <v>17.945756133622879</v>
      </c>
      <c r="E37" s="15">
        <f t="shared" si="14"/>
        <v>22.51790251790252</v>
      </c>
      <c r="F37" s="15">
        <f t="shared" si="14"/>
        <v>26.507137247655564</v>
      </c>
      <c r="G37" s="15">
        <f t="shared" si="14"/>
        <v>29.249815225424982</v>
      </c>
      <c r="H37" s="15">
        <f t="shared" si="14"/>
        <v>33.320565202587673</v>
      </c>
      <c r="I37" s="15">
        <f t="shared" si="14"/>
        <v>36.912665985699689</v>
      </c>
      <c r="J37" s="15">
        <f t="shared" si="14"/>
        <v>41.262342526387471</v>
      </c>
      <c r="K37" s="15">
        <f t="shared" si="14"/>
        <v>40.283452502553622</v>
      </c>
      <c r="L37" s="15">
        <f t="shared" si="14"/>
        <v>39.789751447054819</v>
      </c>
    </row>
    <row r="38" spans="1:14" x14ac:dyDescent="0.35">
      <c r="B38" s="13" t="s">
        <v>78</v>
      </c>
      <c r="C38" s="14"/>
      <c r="D38" s="14">
        <f>IFERROR(D37/C37-1,0)</f>
        <v>5.9558572920778818E-2</v>
      </c>
      <c r="E38" s="14">
        <f t="shared" ref="E38:L38" si="15">IFERROR(E37/D37-1,0)</f>
        <v>0.25477591193348159</v>
      </c>
      <c r="F38" s="14">
        <f t="shared" si="15"/>
        <v>0.17715836217789205</v>
      </c>
      <c r="G38" s="14">
        <f t="shared" si="15"/>
        <v>0.10346941475213423</v>
      </c>
      <c r="H38" s="14">
        <f t="shared" si="15"/>
        <v>0.1391718185496178</v>
      </c>
      <c r="I38" s="14">
        <f t="shared" si="15"/>
        <v>0.10780431728190054</v>
      </c>
      <c r="J38" s="14">
        <f t="shared" si="15"/>
        <v>0.11783696529459253</v>
      </c>
      <c r="K38" s="14">
        <f t="shared" si="15"/>
        <v>-2.3723568849922771E-2</v>
      </c>
      <c r="L38" s="14">
        <f t="shared" si="15"/>
        <v>-1.2255678816692983E-2</v>
      </c>
    </row>
    <row r="40" spans="1:14" x14ac:dyDescent="0.35">
      <c r="B40" t="s">
        <v>77</v>
      </c>
      <c r="C40" s="15">
        <f>IFERROR('Data Sheet'!B31/'Historical FS'!C35,0)</f>
        <v>15.971163177596008</v>
      </c>
      <c r="D40" s="15">
        <f>IFERROR('Data Sheet'!C31/'Historical FS'!D35,0)</f>
        <v>16.966224645381878</v>
      </c>
      <c r="E40" s="15">
        <f>IFERROR('Data Sheet'!D31/'Historical FS'!E35,0)</f>
        <v>19.95841995841996</v>
      </c>
      <c r="F40" s="15">
        <f>IFERROR('Data Sheet'!E31/'Historical FS'!F35,0)</f>
        <v>21.95223356585208</v>
      </c>
      <c r="G40" s="15">
        <f>IFERROR('Data Sheet'!F31/'Historical FS'!G35,0)</f>
        <v>24.944567627494457</v>
      </c>
      <c r="H40" s="15">
        <f>IFERROR('Data Sheet'!G31/'Historical FS'!H35,0)</f>
        <v>40.506894790602651</v>
      </c>
      <c r="I40" s="15">
        <f>IFERROR('Data Sheet'!H31/'Historical FS'!I35,0)</f>
        <v>34.005788219271366</v>
      </c>
      <c r="J40" s="15">
        <f>IFERROR('Data Sheet'!I31/'Historical FS'!J35,0)</f>
        <v>39.006639427987743</v>
      </c>
      <c r="K40" s="15">
        <f>IFERROR('Data Sheet'!J31/'Historical FS'!K35,0)</f>
        <v>42.007150153217566</v>
      </c>
      <c r="L40" s="15">
        <f>IFERROR('Data Sheet'!K31/'Historical FS'!L35,0)</f>
        <v>53.009022812393596</v>
      </c>
    </row>
    <row r="41" spans="1:14" x14ac:dyDescent="0.35">
      <c r="B41" s="13" t="s">
        <v>79</v>
      </c>
      <c r="C41" s="14">
        <f>IFERROR(C40/C37,0)</f>
        <v>0.94297407912687581</v>
      </c>
      <c r="D41" s="14">
        <f t="shared" ref="D41:L41" si="16">IFERROR(D40/D37,0)</f>
        <v>0.94541709577754895</v>
      </c>
      <c r="E41" s="14">
        <f t="shared" si="16"/>
        <v>0.88633565859663521</v>
      </c>
      <c r="F41" s="14">
        <f t="shared" si="16"/>
        <v>0.82816312303938655</v>
      </c>
      <c r="G41" s="14">
        <f t="shared" si="16"/>
        <v>0.85281111813013266</v>
      </c>
      <c r="H41" s="14">
        <f t="shared" si="16"/>
        <v>1.2156724996806743</v>
      </c>
      <c r="I41" s="14">
        <f t="shared" si="16"/>
        <v>0.92124985587455333</v>
      </c>
      <c r="J41" s="14">
        <f t="shared" si="16"/>
        <v>0.94533264569365649</v>
      </c>
      <c r="K41" s="14">
        <f t="shared" si="16"/>
        <v>1.0427892234548337</v>
      </c>
      <c r="L41" s="14">
        <f t="shared" si="16"/>
        <v>1.3322280457802973</v>
      </c>
    </row>
    <row r="42" spans="1:14" x14ac:dyDescent="0.35">
      <c r="D42" s="18"/>
    </row>
    <row r="43" spans="1:14" x14ac:dyDescent="0.35">
      <c r="B43" t="s">
        <v>80</v>
      </c>
      <c r="C43" s="15">
        <f>IFERROR(1-C41,0)</f>
        <v>5.7025920873124192E-2</v>
      </c>
      <c r="D43" s="15">
        <f t="shared" ref="D43:L43" si="17">IFERROR(1-D41,0)</f>
        <v>5.4582904222451045E-2</v>
      </c>
      <c r="E43" s="15">
        <f t="shared" si="17"/>
        <v>0.11366434140336479</v>
      </c>
      <c r="F43" s="15">
        <f t="shared" si="17"/>
        <v>0.17183687696061345</v>
      </c>
      <c r="G43" s="15">
        <f>IFERROR(1-G41,0)</f>
        <v>0.14718888186986734</v>
      </c>
      <c r="H43" s="15">
        <f t="shared" si="17"/>
        <v>-0.21567249968067426</v>
      </c>
      <c r="I43" s="15">
        <f t="shared" si="17"/>
        <v>7.8750144125446675E-2</v>
      </c>
      <c r="J43" s="15">
        <f t="shared" si="17"/>
        <v>5.4667354306343507E-2</v>
      </c>
      <c r="K43" s="15">
        <f t="shared" si="17"/>
        <v>-4.2789223454833714E-2</v>
      </c>
      <c r="L43" s="15">
        <f t="shared" si="17"/>
        <v>-0.3322280457802973</v>
      </c>
    </row>
    <row r="45" spans="1:14" x14ac:dyDescent="0.35">
      <c r="A45" t="s">
        <v>57</v>
      </c>
      <c r="B45" s="19" t="s">
        <v>81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4" x14ac:dyDescent="0.35">
      <c r="B46" s="3" t="s">
        <v>10</v>
      </c>
      <c r="C46" s="15">
        <f>IFERROR('Data Sheet'!B57,0)</f>
        <v>216</v>
      </c>
      <c r="D46" s="15">
        <f>IFERROR('Data Sheet'!C57,0)</f>
        <v>216</v>
      </c>
      <c r="E46" s="15">
        <f>IFERROR('Data Sheet'!D57,0)</f>
        <v>216</v>
      </c>
      <c r="F46" s="15">
        <f>IFERROR('Data Sheet'!E57,0)</f>
        <v>216</v>
      </c>
      <c r="G46" s="15">
        <f>IFERROR('Data Sheet'!F57,0)</f>
        <v>216</v>
      </c>
      <c r="H46" s="15">
        <f>IFERROR('Data Sheet'!G57,0)</f>
        <v>235</v>
      </c>
      <c r="I46" s="15">
        <f>IFERROR('Data Sheet'!H57,0)</f>
        <v>235</v>
      </c>
      <c r="J46" s="15">
        <f>IFERROR('Data Sheet'!I57,0)</f>
        <v>235</v>
      </c>
      <c r="K46" s="15">
        <f>IFERROR('Data Sheet'!J57,0)</f>
        <v>235</v>
      </c>
      <c r="L46" s="15">
        <f>IFERROR('Data Sheet'!K57,0)</f>
        <v>235</v>
      </c>
    </row>
    <row r="47" spans="1:14" x14ac:dyDescent="0.35">
      <c r="B47" s="3" t="s">
        <v>11</v>
      </c>
      <c r="C47" s="15">
        <f>IFERROR('Data Sheet'!B58,0)</f>
        <v>6357</v>
      </c>
      <c r="D47" s="15">
        <f>IFERROR('Data Sheet'!C58,0)</f>
        <v>6528</v>
      </c>
      <c r="E47" s="15">
        <f>IFERROR('Data Sheet'!D58,0)</f>
        <v>7065</v>
      </c>
      <c r="F47" s="15">
        <f>IFERROR('Data Sheet'!E58,0)</f>
        <v>7651</v>
      </c>
      <c r="G47" s="15">
        <f>IFERROR('Data Sheet'!F58,0)</f>
        <v>8013</v>
      </c>
      <c r="H47" s="15">
        <f>IFERROR('Data Sheet'!G58,0)</f>
        <v>47439</v>
      </c>
      <c r="I47" s="15">
        <f>IFERROR('Data Sheet'!H58,0)</f>
        <v>48826</v>
      </c>
      <c r="J47" s="15">
        <f>IFERROR('Data Sheet'!I58,0)</f>
        <v>50069</v>
      </c>
      <c r="K47" s="15">
        <f>IFERROR('Data Sheet'!J58,0)</f>
        <v>50983</v>
      </c>
      <c r="L47" s="15">
        <f>IFERROR('Data Sheet'!K58,0)</f>
        <v>49167</v>
      </c>
    </row>
    <row r="48" spans="1:14" x14ac:dyDescent="0.35">
      <c r="B48" s="3" t="s">
        <v>35</v>
      </c>
      <c r="C48" s="15">
        <f>IFERROR('Data Sheet'!B59,0)</f>
        <v>177</v>
      </c>
      <c r="D48" s="15">
        <f>IFERROR('Data Sheet'!C59,0)</f>
        <v>277</v>
      </c>
      <c r="E48" s="15">
        <f>IFERROR('Data Sheet'!D59,0)</f>
        <v>0</v>
      </c>
      <c r="F48" s="15">
        <f>IFERROR('Data Sheet'!E59,0)</f>
        <v>99</v>
      </c>
      <c r="G48" s="15">
        <f>IFERROR('Data Sheet'!F59,0)</f>
        <v>0</v>
      </c>
      <c r="H48" s="15">
        <f>IFERROR('Data Sheet'!G59,0)</f>
        <v>0</v>
      </c>
      <c r="I48" s="15">
        <f>IFERROR('Data Sheet'!H59,0)</f>
        <v>1043</v>
      </c>
      <c r="J48" s="15">
        <f>IFERROR('Data Sheet'!I59,0)</f>
        <v>1219</v>
      </c>
      <c r="K48" s="15">
        <f>IFERROR('Data Sheet'!J59,0)</f>
        <v>1484</v>
      </c>
      <c r="L48" s="15">
        <f>IFERROR('Data Sheet'!K59,0)</f>
        <v>1648</v>
      </c>
    </row>
    <row r="49" spans="2:12" x14ac:dyDescent="0.35">
      <c r="B49" s="3" t="s">
        <v>36</v>
      </c>
      <c r="C49" s="15">
        <f>IFERROR('Data Sheet'!B60,0)</f>
        <v>8043</v>
      </c>
      <c r="D49" s="15">
        <f>IFERROR('Data Sheet'!C60,0)</f>
        <v>8685</v>
      </c>
      <c r="E49" s="15">
        <f>IFERROR('Data Sheet'!D60,0)</f>
        <v>10581</v>
      </c>
      <c r="F49" s="15">
        <f>IFERROR('Data Sheet'!E60,0)</f>
        <v>10663</v>
      </c>
      <c r="G49" s="15">
        <f>IFERROR('Data Sheet'!F60,0)</f>
        <v>11924</v>
      </c>
      <c r="H49" s="15">
        <f>IFERROR('Data Sheet'!G60,0)</f>
        <v>21066</v>
      </c>
      <c r="I49" s="15">
        <f>IFERROR('Data Sheet'!H60,0)</f>
        <v>20402</v>
      </c>
      <c r="J49" s="15">
        <f>IFERROR('Data Sheet'!I60,0)</f>
        <v>21554</v>
      </c>
      <c r="K49" s="15">
        <f>IFERROR('Data Sheet'!J60,0)</f>
        <v>25787</v>
      </c>
      <c r="L49" s="15">
        <f>IFERROR('Data Sheet'!K60,0)</f>
        <v>28813</v>
      </c>
    </row>
    <row r="50" spans="2:12" x14ac:dyDescent="0.35">
      <c r="B50" s="1" t="s">
        <v>82</v>
      </c>
      <c r="C50" s="16">
        <f>IFERROR('Data Sheet'!B61,0)</f>
        <v>14793</v>
      </c>
      <c r="D50" s="16">
        <f>IFERROR('Data Sheet'!C61,0)</f>
        <v>15706</v>
      </c>
      <c r="E50" s="16">
        <f>IFERROR('Data Sheet'!D61,0)</f>
        <v>17862</v>
      </c>
      <c r="F50" s="16">
        <f>IFERROR('Data Sheet'!E61,0)</f>
        <v>18629</v>
      </c>
      <c r="G50" s="16">
        <f>IFERROR('Data Sheet'!F61,0)</f>
        <v>20153</v>
      </c>
      <c r="H50" s="16">
        <f>IFERROR('Data Sheet'!G61,0)</f>
        <v>68740</v>
      </c>
      <c r="I50" s="16">
        <f>IFERROR('Data Sheet'!H61,0)</f>
        <v>70506</v>
      </c>
      <c r="J50" s="16">
        <f>IFERROR('Data Sheet'!I61,0)</f>
        <v>73077</v>
      </c>
      <c r="K50" s="16">
        <f>IFERROR('Data Sheet'!J61,0)</f>
        <v>78489</v>
      </c>
      <c r="L50" s="16">
        <f>IFERROR('Data Sheet'!K61,0)</f>
        <v>79863</v>
      </c>
    </row>
    <row r="51" spans="2:12" x14ac:dyDescent="0.35">
      <c r="B51" s="1"/>
    </row>
    <row r="52" spans="2:12" x14ac:dyDescent="0.35">
      <c r="B52" s="3" t="s">
        <v>13</v>
      </c>
      <c r="C52" s="15">
        <f>IFERROR('Data Sheet'!B62,0)</f>
        <v>3258</v>
      </c>
      <c r="D52" s="15">
        <f>IFERROR('Data Sheet'!C62,0)</f>
        <v>4419</v>
      </c>
      <c r="E52" s="15">
        <f>IFERROR('Data Sheet'!D62,0)</f>
        <v>4528</v>
      </c>
      <c r="F52" s="15">
        <f>IFERROR('Data Sheet'!E62,0)</f>
        <v>4715</v>
      </c>
      <c r="G52" s="15">
        <f>IFERROR('Data Sheet'!F62,0)</f>
        <v>5479</v>
      </c>
      <c r="H52" s="15">
        <f>IFERROR('Data Sheet'!G62,0)</f>
        <v>51443</v>
      </c>
      <c r="I52" s="15">
        <f>IFERROR('Data Sheet'!H62,0)</f>
        <v>51473</v>
      </c>
      <c r="J52" s="15">
        <f>IFERROR('Data Sheet'!I62,0)</f>
        <v>52678</v>
      </c>
      <c r="K52" s="15">
        <f>IFERROR('Data Sheet'!J62,0)</f>
        <v>53744</v>
      </c>
      <c r="L52" s="15">
        <f>IFERROR('Data Sheet'!K62,0)</f>
        <v>54335</v>
      </c>
    </row>
    <row r="53" spans="2:12" x14ac:dyDescent="0.35">
      <c r="B53" s="3" t="s">
        <v>14</v>
      </c>
      <c r="C53" s="15">
        <f>IFERROR('Data Sheet'!B63,0)</f>
        <v>408</v>
      </c>
      <c r="D53" s="15">
        <f>IFERROR('Data Sheet'!C63,0)</f>
        <v>229</v>
      </c>
      <c r="E53" s="15">
        <f>IFERROR('Data Sheet'!D63,0)</f>
        <v>461</v>
      </c>
      <c r="F53" s="15">
        <f>IFERROR('Data Sheet'!E63,0)</f>
        <v>406</v>
      </c>
      <c r="G53" s="15">
        <f>IFERROR('Data Sheet'!F63,0)</f>
        <v>597</v>
      </c>
      <c r="H53" s="15">
        <f>IFERROR('Data Sheet'!G63,0)</f>
        <v>745</v>
      </c>
      <c r="I53" s="15">
        <f>IFERROR('Data Sheet'!H63,0)</f>
        <v>1313</v>
      </c>
      <c r="J53" s="15">
        <f>IFERROR('Data Sheet'!I63,0)</f>
        <v>1132</v>
      </c>
      <c r="K53" s="15">
        <f>IFERROR('Data Sheet'!J63,0)</f>
        <v>1025</v>
      </c>
      <c r="L53" s="15">
        <f>IFERROR('Data Sheet'!K63,0)</f>
        <v>1009</v>
      </c>
    </row>
    <row r="54" spans="2:12" x14ac:dyDescent="0.35">
      <c r="B54" s="3" t="s">
        <v>15</v>
      </c>
      <c r="C54" s="15">
        <f>IFERROR('Data Sheet'!B64,0)</f>
        <v>2592</v>
      </c>
      <c r="D54" s="15">
        <f>IFERROR('Data Sheet'!C64,0)</f>
        <v>3794</v>
      </c>
      <c r="E54" s="15">
        <f>IFERROR('Data Sheet'!D64,0)</f>
        <v>2873</v>
      </c>
      <c r="F54" s="15">
        <f>IFERROR('Data Sheet'!E64,0)</f>
        <v>2716</v>
      </c>
      <c r="G54" s="15">
        <f>IFERROR('Data Sheet'!F64,0)</f>
        <v>1255</v>
      </c>
      <c r="H54" s="15">
        <f>IFERROR('Data Sheet'!G64,0)</f>
        <v>2709</v>
      </c>
      <c r="I54" s="15">
        <f>IFERROR('Data Sheet'!H64,0)</f>
        <v>3521</v>
      </c>
      <c r="J54" s="15">
        <f>IFERROR('Data Sheet'!I64,0)</f>
        <v>2882</v>
      </c>
      <c r="K54" s="15">
        <f>IFERROR('Data Sheet'!J64,0)</f>
        <v>4625</v>
      </c>
      <c r="L54" s="15">
        <f>IFERROR('Data Sheet'!K64,0)</f>
        <v>3810</v>
      </c>
    </row>
    <row r="55" spans="2:12" x14ac:dyDescent="0.35">
      <c r="B55" s="3" t="s">
        <v>37</v>
      </c>
      <c r="C55" s="15">
        <f>IFERROR('Data Sheet'!B65-SUM('Data Sheet'!B67:B69),0)</f>
        <v>1536</v>
      </c>
      <c r="D55" s="15">
        <f>IFERROR('Data Sheet'!C65-SUM('Data Sheet'!C67:C69),0)</f>
        <v>1810</v>
      </c>
      <c r="E55" s="15">
        <f>IFERROR('Data Sheet'!D65-SUM('Data Sheet'!D67:D69),0)</f>
        <v>2692</v>
      </c>
      <c r="F55" s="15">
        <f>IFERROR('Data Sheet'!E65-SUM('Data Sheet'!E67:E69),0)</f>
        <v>2645</v>
      </c>
      <c r="G55" s="15">
        <f>IFERROR('Data Sheet'!F65-SUM('Data Sheet'!F67:F69),0)</f>
        <v>3793</v>
      </c>
      <c r="H55" s="15">
        <f>IFERROR('Data Sheet'!G65-SUM('Data Sheet'!G67:G69),0)</f>
        <v>4035</v>
      </c>
      <c r="I55" s="15">
        <f>IFERROR('Data Sheet'!H65-SUM('Data Sheet'!H67:H69),0)</f>
        <v>4021</v>
      </c>
      <c r="J55" s="15">
        <f>IFERROR('Data Sheet'!I65-SUM('Data Sheet'!I67:I69),0)</f>
        <v>4377</v>
      </c>
      <c r="K55" s="15">
        <f>IFERROR('Data Sheet'!J65-SUM('Data Sheet'!J67:J69),0)</f>
        <v>4517</v>
      </c>
      <c r="L55" s="15">
        <f>IFERROR('Data Sheet'!K65-SUM('Data Sheet'!K67:K69),0)</f>
        <v>8033</v>
      </c>
    </row>
    <row r="56" spans="2:12" x14ac:dyDescent="0.35">
      <c r="B56" s="1" t="s">
        <v>83</v>
      </c>
      <c r="C56" s="16">
        <f>IFERROR(SUM(C52:C55),0)</f>
        <v>7794</v>
      </c>
      <c r="D56" s="16">
        <f t="shared" ref="D56:L56" si="18">IFERROR(SUM(D52:D55),0)</f>
        <v>10252</v>
      </c>
      <c r="E56" s="16">
        <f t="shared" si="18"/>
        <v>10554</v>
      </c>
      <c r="F56" s="16">
        <f t="shared" si="18"/>
        <v>10482</v>
      </c>
      <c r="G56" s="16">
        <f t="shared" si="18"/>
        <v>11124</v>
      </c>
      <c r="H56" s="16">
        <f t="shared" si="18"/>
        <v>58932</v>
      </c>
      <c r="I56" s="16">
        <f t="shared" si="18"/>
        <v>60328</v>
      </c>
      <c r="J56" s="16">
        <f t="shared" si="18"/>
        <v>61069</v>
      </c>
      <c r="K56" s="16">
        <f t="shared" si="18"/>
        <v>63911</v>
      </c>
      <c r="L56" s="16">
        <f t="shared" si="18"/>
        <v>67187</v>
      </c>
    </row>
    <row r="57" spans="2:12" x14ac:dyDescent="0.35">
      <c r="B57" s="1"/>
    </row>
    <row r="58" spans="2:12" x14ac:dyDescent="0.35">
      <c r="B58" s="3" t="s">
        <v>42</v>
      </c>
      <c r="C58" s="15">
        <f>IFERROR('Data Sheet'!B67,0)</f>
        <v>1264</v>
      </c>
      <c r="D58" s="15">
        <f>IFERROR('Data Sheet'!C67,0)</f>
        <v>1085</v>
      </c>
      <c r="E58" s="15">
        <f>IFERROR('Data Sheet'!D67,0)</f>
        <v>1310</v>
      </c>
      <c r="F58" s="15">
        <f>IFERROR('Data Sheet'!E67,0)</f>
        <v>1816</v>
      </c>
      <c r="G58" s="15">
        <f>IFERROR('Data Sheet'!F67,0)</f>
        <v>1149</v>
      </c>
      <c r="H58" s="15">
        <f>IFERROR('Data Sheet'!G67,0)</f>
        <v>1758</v>
      </c>
      <c r="I58" s="15">
        <f>IFERROR('Data Sheet'!H67,0)</f>
        <v>2236</v>
      </c>
      <c r="J58" s="15">
        <f>IFERROR('Data Sheet'!I67,0)</f>
        <v>3079</v>
      </c>
      <c r="K58" s="15">
        <f>IFERROR('Data Sheet'!J67,0)</f>
        <v>2997</v>
      </c>
      <c r="L58" s="15">
        <f>IFERROR('Data Sheet'!K67,0)</f>
        <v>3819</v>
      </c>
    </row>
    <row r="59" spans="2:12" x14ac:dyDescent="0.35">
      <c r="B59" s="3" t="s">
        <v>29</v>
      </c>
      <c r="C59" s="15">
        <f>IFERROR('Data Sheet'!B68,0)</f>
        <v>2726</v>
      </c>
      <c r="D59" s="15">
        <f>IFERROR('Data Sheet'!C68,0)</f>
        <v>2541</v>
      </c>
      <c r="E59" s="15">
        <f>IFERROR('Data Sheet'!D68,0)</f>
        <v>2513</v>
      </c>
      <c r="F59" s="15">
        <f>IFERROR('Data Sheet'!E68,0)</f>
        <v>2574</v>
      </c>
      <c r="G59" s="15">
        <f>IFERROR('Data Sheet'!F68,0)</f>
        <v>2767</v>
      </c>
      <c r="H59" s="15">
        <f>IFERROR('Data Sheet'!G68,0)</f>
        <v>3579</v>
      </c>
      <c r="I59" s="15">
        <f>IFERROR('Data Sheet'!H68,0)</f>
        <v>4096</v>
      </c>
      <c r="J59" s="15">
        <f>IFERROR('Data Sheet'!I68,0)</f>
        <v>4251</v>
      </c>
      <c r="K59" s="15">
        <f>IFERROR('Data Sheet'!J68,0)</f>
        <v>4022</v>
      </c>
      <c r="L59" s="15">
        <f>IFERROR('Data Sheet'!K68,0)</f>
        <v>4415</v>
      </c>
    </row>
    <row r="60" spans="2:12" x14ac:dyDescent="0.35">
      <c r="B60" s="2" t="s">
        <v>51</v>
      </c>
      <c r="C60" s="15">
        <f>IFERROR('Data Sheet'!B69,0)</f>
        <v>3009</v>
      </c>
      <c r="D60" s="15">
        <f>IFERROR('Data Sheet'!C69,0)</f>
        <v>1828</v>
      </c>
      <c r="E60" s="15">
        <f>IFERROR('Data Sheet'!D69,0)</f>
        <v>3485</v>
      </c>
      <c r="F60" s="15">
        <f>IFERROR('Data Sheet'!E69,0)</f>
        <v>3757</v>
      </c>
      <c r="G60" s="15">
        <f>IFERROR('Data Sheet'!F69,0)</f>
        <v>5113</v>
      </c>
      <c r="H60" s="15">
        <f>IFERROR('Data Sheet'!G69,0)</f>
        <v>4471</v>
      </c>
      <c r="I60" s="15">
        <f>IFERROR('Data Sheet'!H69,0)</f>
        <v>3846</v>
      </c>
      <c r="J60" s="15">
        <f>IFERROR('Data Sheet'!I69,0)</f>
        <v>4678</v>
      </c>
      <c r="K60" s="15">
        <f>IFERROR('Data Sheet'!J69,0)</f>
        <v>7559</v>
      </c>
      <c r="L60" s="15">
        <f>IFERROR('Data Sheet'!K69,0)</f>
        <v>4442</v>
      </c>
    </row>
    <row r="61" spans="2:12" x14ac:dyDescent="0.35">
      <c r="B61" s="1" t="s">
        <v>84</v>
      </c>
      <c r="C61" s="1">
        <f>IFERROR(SUM(C58:C60),0)</f>
        <v>6999</v>
      </c>
      <c r="D61" s="1">
        <f t="shared" ref="D61:L61" si="19">IFERROR(SUM(D58:D60),0)</f>
        <v>5454</v>
      </c>
      <c r="E61" s="1">
        <f t="shared" si="19"/>
        <v>7308</v>
      </c>
      <c r="F61" s="1">
        <f t="shared" si="19"/>
        <v>8147</v>
      </c>
      <c r="G61" s="1">
        <f t="shared" si="19"/>
        <v>9029</v>
      </c>
      <c r="H61" s="1">
        <f t="shared" si="19"/>
        <v>9808</v>
      </c>
      <c r="I61" s="1">
        <f>IFERROR(SUM(I58:I60),0)</f>
        <v>10178</v>
      </c>
      <c r="J61" s="1">
        <f t="shared" si="19"/>
        <v>12008</v>
      </c>
      <c r="K61" s="1">
        <f t="shared" si="19"/>
        <v>14578</v>
      </c>
      <c r="L61" s="1">
        <f t="shared" si="19"/>
        <v>12676</v>
      </c>
    </row>
    <row r="63" spans="2:12" x14ac:dyDescent="0.35">
      <c r="B63" s="1" t="s">
        <v>85</v>
      </c>
      <c r="C63" s="16">
        <f>IFERROR(SUM(C56,C61),0)</f>
        <v>14793</v>
      </c>
      <c r="D63" s="16">
        <f t="shared" ref="D63:L63" si="20">IFERROR(SUM(D56,D61),0)</f>
        <v>15706</v>
      </c>
      <c r="E63" s="16">
        <f t="shared" si="20"/>
        <v>17862</v>
      </c>
      <c r="F63" s="16">
        <f t="shared" si="20"/>
        <v>18629</v>
      </c>
      <c r="G63" s="16">
        <f t="shared" si="20"/>
        <v>20153</v>
      </c>
      <c r="H63" s="16">
        <f t="shared" si="20"/>
        <v>68740</v>
      </c>
      <c r="I63" s="16">
        <f t="shared" si="20"/>
        <v>70506</v>
      </c>
      <c r="J63" s="16">
        <f t="shared" si="20"/>
        <v>73077</v>
      </c>
      <c r="K63" s="16">
        <f t="shared" si="20"/>
        <v>78489</v>
      </c>
      <c r="L63" s="16">
        <f t="shared" si="20"/>
        <v>79863</v>
      </c>
    </row>
    <row r="65" spans="1:35" x14ac:dyDescent="0.35">
      <c r="B65" s="20" t="s">
        <v>86</v>
      </c>
      <c r="C65" s="20" t="b">
        <f>C63=C50</f>
        <v>1</v>
      </c>
      <c r="D65" s="20" t="b">
        <f t="shared" ref="D65:L65" si="21">D63=D50</f>
        <v>1</v>
      </c>
      <c r="E65" s="20" t="b">
        <f t="shared" si="21"/>
        <v>1</v>
      </c>
      <c r="F65" s="20" t="b">
        <f t="shared" si="21"/>
        <v>1</v>
      </c>
      <c r="G65" s="20" t="b">
        <f t="shared" si="21"/>
        <v>1</v>
      </c>
      <c r="H65" s="20" t="b">
        <f t="shared" si="21"/>
        <v>1</v>
      </c>
      <c r="I65" s="20" t="b">
        <f t="shared" si="21"/>
        <v>1</v>
      </c>
      <c r="J65" s="20" t="b">
        <f t="shared" si="21"/>
        <v>1</v>
      </c>
      <c r="K65" s="20" t="b">
        <f t="shared" si="21"/>
        <v>1</v>
      </c>
      <c r="L65" s="20" t="b">
        <f t="shared" si="21"/>
        <v>1</v>
      </c>
    </row>
    <row r="67" spans="1:35" x14ac:dyDescent="0.35">
      <c r="A67" t="s">
        <v>57</v>
      </c>
      <c r="B67" s="19" t="s">
        <v>87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1"/>
      <c r="AI67" s="21"/>
    </row>
    <row r="68" spans="1:35" x14ac:dyDescent="0.35">
      <c r="B68" s="22" t="s">
        <v>116</v>
      </c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spans="1:35" x14ac:dyDescent="0.35">
      <c r="B69" t="s">
        <v>89</v>
      </c>
      <c r="C69" s="23">
        <f>IFERROR(6025,0)</f>
        <v>6025</v>
      </c>
      <c r="D69" s="23">
        <f>IFERROR(6512,0)</f>
        <v>6512</v>
      </c>
      <c r="E69" s="23">
        <v>7485</v>
      </c>
      <c r="F69" s="23">
        <v>8909</v>
      </c>
      <c r="G69" s="23">
        <v>9723</v>
      </c>
      <c r="H69" s="23">
        <v>11672</v>
      </c>
      <c r="I69" s="23">
        <v>12829</v>
      </c>
      <c r="J69" s="23">
        <v>14089</v>
      </c>
      <c r="K69" s="23">
        <v>14537</v>
      </c>
      <c r="L69" s="23">
        <v>14942</v>
      </c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 spans="1:35" x14ac:dyDescent="0.35">
      <c r="B70" t="s">
        <v>42</v>
      </c>
      <c r="C70" s="23">
        <v>-257</v>
      </c>
      <c r="D70" s="23">
        <v>173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spans="1:35" x14ac:dyDescent="0.35">
      <c r="B71" t="s">
        <v>29</v>
      </c>
      <c r="C71" s="23">
        <v>89</v>
      </c>
      <c r="D71" s="23">
        <v>37</v>
      </c>
      <c r="E71" s="23">
        <v>-146</v>
      </c>
      <c r="F71" s="23">
        <v>-195</v>
      </c>
      <c r="G71" s="23">
        <v>-331</v>
      </c>
      <c r="H71" s="23">
        <v>-543</v>
      </c>
      <c r="I71" s="23">
        <v>-758</v>
      </c>
      <c r="J71" s="23">
        <v>-339</v>
      </c>
      <c r="K71" s="23">
        <v>74</v>
      </c>
      <c r="L71" s="23">
        <v>-584</v>
      </c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 spans="1:35" x14ac:dyDescent="0.35">
      <c r="B72" t="s">
        <v>90</v>
      </c>
      <c r="C72" s="23">
        <v>164</v>
      </c>
      <c r="D72" s="23">
        <v>501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spans="1:35" x14ac:dyDescent="0.35">
      <c r="B73" t="s">
        <v>91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H73" s="21"/>
    </row>
    <row r="74" spans="1:35" x14ac:dyDescent="0.35">
      <c r="B74" t="s">
        <v>92</v>
      </c>
      <c r="C74" s="23">
        <v>0</v>
      </c>
      <c r="D74" s="23">
        <v>-46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H74" s="21"/>
    </row>
    <row r="75" spans="1:35" x14ac:dyDescent="0.35">
      <c r="B75" t="s">
        <v>93</v>
      </c>
      <c r="C75" s="23">
        <v>-77</v>
      </c>
      <c r="D75" s="23">
        <v>-99</v>
      </c>
      <c r="E75" s="23">
        <v>982</v>
      </c>
      <c r="F75" s="23">
        <v>-147</v>
      </c>
      <c r="G75" s="23">
        <v>742</v>
      </c>
      <c r="H75" s="23">
        <v>442</v>
      </c>
      <c r="I75" s="23">
        <v>-242</v>
      </c>
      <c r="J75" s="23">
        <v>-621</v>
      </c>
      <c r="K75" s="23">
        <v>1239</v>
      </c>
      <c r="L75" s="23">
        <v>-204</v>
      </c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1"/>
      <c r="AI75" s="21"/>
    </row>
    <row r="76" spans="1:35" x14ac:dyDescent="0.35">
      <c r="B76" t="s">
        <v>94</v>
      </c>
      <c r="C76" s="23">
        <v>-81</v>
      </c>
      <c r="D76" s="23">
        <v>566</v>
      </c>
      <c r="E76" s="23">
        <v>836</v>
      </c>
      <c r="F76" s="23">
        <v>-342</v>
      </c>
      <c r="G76" s="23">
        <v>411</v>
      </c>
      <c r="H76" s="23">
        <v>-101</v>
      </c>
      <c r="I76" s="23">
        <v>-1000</v>
      </c>
      <c r="J76" s="23">
        <v>-960</v>
      </c>
      <c r="K76" s="23">
        <v>1313</v>
      </c>
      <c r="L76" s="23">
        <v>-788</v>
      </c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spans="1:35" x14ac:dyDescent="0.35">
      <c r="B77" t="s">
        <v>95</v>
      </c>
      <c r="C77" s="23">
        <v>-1765</v>
      </c>
      <c r="D77" s="23">
        <v>-1859</v>
      </c>
      <c r="E77" s="23">
        <v>-2264</v>
      </c>
      <c r="F77" s="23">
        <v>-2767</v>
      </c>
      <c r="G77" s="23">
        <v>-2505</v>
      </c>
      <c r="H77" s="23">
        <v>-2407</v>
      </c>
      <c r="I77" s="23">
        <v>-2784</v>
      </c>
      <c r="J77" s="23">
        <v>-3138</v>
      </c>
      <c r="K77" s="23">
        <v>-381</v>
      </c>
      <c r="L77" s="23">
        <v>-2268</v>
      </c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spans="1:35" x14ac:dyDescent="0.35">
      <c r="B78" t="s">
        <v>96</v>
      </c>
      <c r="C78" s="23">
        <v>-8</v>
      </c>
      <c r="D78" s="23">
        <v>-21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1"/>
      <c r="AH78" s="21"/>
      <c r="AI78" s="21"/>
    </row>
    <row r="79" spans="1:35" x14ac:dyDescent="0.35">
      <c r="B79" t="s">
        <v>97</v>
      </c>
      <c r="C79" s="23">
        <v>0</v>
      </c>
      <c r="D79" s="23">
        <v>-13</v>
      </c>
      <c r="E79" s="23">
        <v>2</v>
      </c>
      <c r="F79" s="23">
        <v>0</v>
      </c>
      <c r="G79" s="23">
        <v>-6</v>
      </c>
      <c r="H79" s="23">
        <v>-1</v>
      </c>
      <c r="I79" s="23">
        <v>3</v>
      </c>
      <c r="J79" s="23">
        <v>0</v>
      </c>
      <c r="K79" s="23">
        <v>0</v>
      </c>
      <c r="L79" s="23">
        <v>0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 spans="1:35" x14ac:dyDescent="0.35">
      <c r="B80" s="22" t="s">
        <v>88</v>
      </c>
      <c r="C80" s="24">
        <f>SUM(C69:C79)</f>
        <v>4090</v>
      </c>
      <c r="D80" s="24">
        <f t="shared" ref="D80:L80" si="22">SUM(D69:D79)</f>
        <v>5751</v>
      </c>
      <c r="E80" s="24">
        <f t="shared" si="22"/>
        <v>6895</v>
      </c>
      <c r="F80" s="24">
        <f t="shared" si="22"/>
        <v>5458</v>
      </c>
      <c r="G80" s="24">
        <f t="shared" si="22"/>
        <v>8034</v>
      </c>
      <c r="H80" s="24">
        <f t="shared" si="22"/>
        <v>9062</v>
      </c>
      <c r="I80" s="24">
        <f t="shared" si="22"/>
        <v>8048</v>
      </c>
      <c r="J80" s="24">
        <f t="shared" si="22"/>
        <v>9031</v>
      </c>
      <c r="K80" s="24">
        <f t="shared" si="22"/>
        <v>16782</v>
      </c>
      <c r="L80" s="24">
        <f t="shared" si="22"/>
        <v>11098</v>
      </c>
      <c r="S80" s="145"/>
      <c r="T80" s="145"/>
      <c r="U80" s="145"/>
      <c r="V80" s="146"/>
      <c r="W80" s="145"/>
      <c r="X80" s="145"/>
      <c r="Y80" s="145"/>
      <c r="Z80" s="146"/>
      <c r="AA80" s="146"/>
      <c r="AB80" s="146"/>
      <c r="AC80" s="146"/>
      <c r="AD80" s="146"/>
    </row>
    <row r="81" spans="2:30" x14ac:dyDescent="0.35">
      <c r="R81" s="144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</row>
    <row r="82" spans="2:30" x14ac:dyDescent="0.35">
      <c r="B82" s="22" t="s">
        <v>117</v>
      </c>
      <c r="E82" t="s">
        <v>54</v>
      </c>
      <c r="R82" s="144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</row>
    <row r="83" spans="2:30" x14ac:dyDescent="0.35">
      <c r="B83" t="s">
        <v>98</v>
      </c>
      <c r="C83" s="23">
        <f>IFERROR(-810,0)</f>
        <v>-810</v>
      </c>
      <c r="D83" s="23">
        <v>-1113</v>
      </c>
      <c r="E83" s="23">
        <v>-895</v>
      </c>
      <c r="F83" s="23">
        <v>-767</v>
      </c>
      <c r="G83" s="23">
        <v>-862</v>
      </c>
      <c r="H83" s="23">
        <v>-4163</v>
      </c>
      <c r="I83" s="23">
        <v>-1228</v>
      </c>
      <c r="J83" s="23">
        <v>-1192</v>
      </c>
      <c r="K83" s="23">
        <v>-1477</v>
      </c>
      <c r="L83" s="23">
        <v>-1275</v>
      </c>
      <c r="R83" s="144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</row>
    <row r="84" spans="2:30" x14ac:dyDescent="0.35">
      <c r="B84" t="s">
        <v>99</v>
      </c>
      <c r="C84" s="23">
        <v>99</v>
      </c>
      <c r="D84" s="23">
        <v>176</v>
      </c>
      <c r="E84" s="23">
        <v>32</v>
      </c>
      <c r="F84" s="23">
        <v>13</v>
      </c>
      <c r="G84" s="23">
        <v>52</v>
      </c>
      <c r="H84" s="23">
        <v>97</v>
      </c>
      <c r="I84" s="23">
        <v>175</v>
      </c>
      <c r="J84" s="23">
        <v>181</v>
      </c>
      <c r="K84" s="23">
        <v>20</v>
      </c>
      <c r="L84" s="23">
        <v>13</v>
      </c>
      <c r="R84" s="144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</row>
    <row r="85" spans="2:30" x14ac:dyDescent="0.35">
      <c r="B85" t="s">
        <v>100</v>
      </c>
      <c r="C85" s="23">
        <v>-20666</v>
      </c>
      <c r="D85" s="23">
        <v>-31214</v>
      </c>
      <c r="E85" s="23">
        <v>-51855</v>
      </c>
      <c r="F85" s="23">
        <v>-74365</v>
      </c>
      <c r="G85" s="23">
        <v>-36090</v>
      </c>
      <c r="H85" s="23">
        <v>-39920</v>
      </c>
      <c r="I85" s="23">
        <v>-48522</v>
      </c>
      <c r="J85" s="23">
        <v>-22649</v>
      </c>
      <c r="K85" s="23">
        <v>-21337</v>
      </c>
      <c r="L85" s="23">
        <v>-22957</v>
      </c>
      <c r="R85" s="144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</row>
    <row r="86" spans="2:30" x14ac:dyDescent="0.35">
      <c r="B86" t="s">
        <v>101</v>
      </c>
      <c r="C86" s="23">
        <v>20937</v>
      </c>
      <c r="D86" s="23">
        <v>30083</v>
      </c>
      <c r="E86" s="23">
        <v>52897</v>
      </c>
      <c r="F86" s="23">
        <v>74691</v>
      </c>
      <c r="G86" s="23">
        <v>37690</v>
      </c>
      <c r="H86" s="23">
        <v>38486</v>
      </c>
      <c r="I86" s="23">
        <v>47786</v>
      </c>
      <c r="J86" s="23">
        <v>23462</v>
      </c>
      <c r="K86" s="23">
        <v>19846</v>
      </c>
      <c r="L86" s="23">
        <v>23987</v>
      </c>
      <c r="R86" s="144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</row>
    <row r="87" spans="2:30" x14ac:dyDescent="0.35">
      <c r="B87" t="s">
        <v>102</v>
      </c>
      <c r="C87" s="23">
        <v>315</v>
      </c>
      <c r="D87" s="23">
        <v>264</v>
      </c>
      <c r="E87" s="23">
        <v>297</v>
      </c>
      <c r="F87" s="23">
        <v>289</v>
      </c>
      <c r="G87" s="23">
        <v>351</v>
      </c>
      <c r="H87" s="23">
        <v>277</v>
      </c>
      <c r="I87" s="23">
        <v>161</v>
      </c>
      <c r="J87" s="23">
        <v>259</v>
      </c>
      <c r="K87" s="23">
        <v>425</v>
      </c>
      <c r="L87" s="23">
        <v>835</v>
      </c>
      <c r="R87" s="144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</row>
    <row r="88" spans="2:30" x14ac:dyDescent="0.35">
      <c r="B88" t="s">
        <v>103</v>
      </c>
      <c r="C88" s="23">
        <v>33</v>
      </c>
      <c r="D88" s="23">
        <v>14</v>
      </c>
      <c r="E88" s="23">
        <v>0</v>
      </c>
      <c r="F88" s="23">
        <v>1</v>
      </c>
      <c r="G88" s="23">
        <v>1</v>
      </c>
      <c r="H88" s="23">
        <v>1</v>
      </c>
      <c r="I88" s="23">
        <v>1</v>
      </c>
      <c r="J88" s="23">
        <v>2</v>
      </c>
      <c r="K88" s="23">
        <v>3</v>
      </c>
      <c r="L88" s="23">
        <v>0</v>
      </c>
      <c r="R88" s="144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</row>
    <row r="89" spans="2:30" x14ac:dyDescent="0.35">
      <c r="B89" t="s">
        <v>104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R89" s="144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</row>
    <row r="90" spans="2:30" x14ac:dyDescent="0.35">
      <c r="B90" t="s">
        <v>105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R90" s="149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  <c r="AC90" s="150"/>
      <c r="AD90" s="150"/>
    </row>
    <row r="91" spans="2:30" x14ac:dyDescent="0.35">
      <c r="B91" t="s">
        <v>106</v>
      </c>
      <c r="C91" s="23">
        <v>161</v>
      </c>
      <c r="D91" s="23">
        <v>20</v>
      </c>
      <c r="E91" s="23">
        <v>73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R91" s="149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</row>
    <row r="92" spans="2:30" x14ac:dyDescent="0.35">
      <c r="B92" t="s">
        <v>107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-334</v>
      </c>
      <c r="K92" s="23">
        <v>0</v>
      </c>
      <c r="L92" s="23">
        <v>0</v>
      </c>
      <c r="R92" s="149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</row>
    <row r="93" spans="2:30" x14ac:dyDescent="0.35">
      <c r="B93" t="s">
        <v>108</v>
      </c>
      <c r="C93" s="23">
        <v>-351</v>
      </c>
      <c r="D93" s="23">
        <v>597</v>
      </c>
      <c r="E93" s="23">
        <v>-1612</v>
      </c>
      <c r="F93" s="23">
        <v>-300</v>
      </c>
      <c r="G93" s="23">
        <v>649</v>
      </c>
      <c r="H93" s="23">
        <v>3994</v>
      </c>
      <c r="I93" s="23">
        <v>-101</v>
      </c>
      <c r="J93" s="23">
        <v>-1213</v>
      </c>
      <c r="K93" s="23">
        <v>-2804</v>
      </c>
      <c r="L93" s="23">
        <v>5870</v>
      </c>
      <c r="R93" s="149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</row>
    <row r="94" spans="2:30" x14ac:dyDescent="0.35">
      <c r="B94" s="22" t="s">
        <v>118</v>
      </c>
      <c r="C94" s="24">
        <f>SUM(C83:C93)</f>
        <v>-282</v>
      </c>
      <c r="D94" s="24">
        <f t="shared" ref="D94:L94" si="23">SUM(D83:D93)</f>
        <v>-1173</v>
      </c>
      <c r="E94" s="24">
        <f t="shared" si="23"/>
        <v>-1063</v>
      </c>
      <c r="F94" s="24">
        <f t="shared" si="23"/>
        <v>-438</v>
      </c>
      <c r="G94" s="24">
        <f t="shared" si="23"/>
        <v>1791</v>
      </c>
      <c r="H94" s="24">
        <f t="shared" si="23"/>
        <v>-1228</v>
      </c>
      <c r="I94" s="24">
        <f t="shared" si="23"/>
        <v>-1728</v>
      </c>
      <c r="J94" s="24">
        <f t="shared" si="23"/>
        <v>-1484</v>
      </c>
      <c r="K94" s="24">
        <f t="shared" si="23"/>
        <v>-5324</v>
      </c>
      <c r="L94" s="24">
        <f t="shared" si="23"/>
        <v>6473</v>
      </c>
      <c r="R94" s="149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  <c r="AC94" s="151"/>
      <c r="AD94" s="151"/>
    </row>
    <row r="95" spans="2:30" x14ac:dyDescent="0.35">
      <c r="R95" s="149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</row>
    <row r="96" spans="2:30" x14ac:dyDescent="0.35">
      <c r="B96" s="22" t="s">
        <v>119</v>
      </c>
      <c r="R96" s="149"/>
      <c r="S96" s="150"/>
      <c r="T96" s="150"/>
      <c r="U96" s="150"/>
      <c r="V96" s="150"/>
      <c r="W96" s="150"/>
      <c r="X96" s="150"/>
      <c r="Y96" s="151"/>
      <c r="Z96" s="150"/>
      <c r="AA96" s="150"/>
      <c r="AB96" s="150"/>
      <c r="AC96" s="150"/>
      <c r="AD96" s="150"/>
    </row>
    <row r="97" spans="2:13" x14ac:dyDescent="0.35">
      <c r="B97" t="s">
        <v>109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</row>
    <row r="98" spans="2:13" x14ac:dyDescent="0.35">
      <c r="B98" t="s">
        <v>110</v>
      </c>
      <c r="C98" s="23">
        <v>177</v>
      </c>
      <c r="D98" s="23">
        <v>460</v>
      </c>
      <c r="E98" s="23">
        <v>0</v>
      </c>
      <c r="F98" s="23">
        <v>99</v>
      </c>
      <c r="G98" s="23">
        <v>0</v>
      </c>
      <c r="H98" s="23">
        <v>188</v>
      </c>
      <c r="I98" s="23">
        <v>55</v>
      </c>
      <c r="J98" s="23">
        <v>286</v>
      </c>
      <c r="K98" s="23">
        <v>0</v>
      </c>
      <c r="L98" s="23">
        <v>0</v>
      </c>
    </row>
    <row r="99" spans="2:13" x14ac:dyDescent="0.35">
      <c r="B99" t="s">
        <v>111</v>
      </c>
      <c r="C99" s="23">
        <v>0</v>
      </c>
      <c r="D99" s="23">
        <v>-360</v>
      </c>
      <c r="E99" s="23">
        <v>-277</v>
      </c>
      <c r="F99" s="23">
        <v>0</v>
      </c>
      <c r="G99" s="23">
        <v>-99</v>
      </c>
      <c r="H99" s="23">
        <v>-188</v>
      </c>
      <c r="I99" s="23">
        <v>-55</v>
      </c>
      <c r="J99" s="23">
        <v>-208</v>
      </c>
      <c r="K99" s="23">
        <v>-85</v>
      </c>
      <c r="L99" s="23">
        <v>0</v>
      </c>
      <c r="M99" t="s">
        <v>54</v>
      </c>
    </row>
    <row r="100" spans="2:13" x14ac:dyDescent="0.35">
      <c r="B100" t="s">
        <v>112</v>
      </c>
      <c r="C100" s="23">
        <v>-2</v>
      </c>
      <c r="D100" s="23">
        <v>-14</v>
      </c>
      <c r="E100" s="23">
        <v>-6</v>
      </c>
      <c r="F100" s="23">
        <v>-7</v>
      </c>
      <c r="G100" s="23">
        <v>-90</v>
      </c>
      <c r="H100" s="23">
        <v>-92</v>
      </c>
      <c r="I100" s="23">
        <v>-82</v>
      </c>
      <c r="J100" s="23">
        <v>-88</v>
      </c>
      <c r="K100" s="23">
        <v>-110</v>
      </c>
      <c r="L100" s="23">
        <v>-130</v>
      </c>
    </row>
    <row r="101" spans="2:13" x14ac:dyDescent="0.35">
      <c r="B101" t="s">
        <v>113</v>
      </c>
      <c r="C101" s="23">
        <v>-3354</v>
      </c>
      <c r="D101" s="23">
        <v>-3572</v>
      </c>
      <c r="E101" s="23">
        <v>-3911</v>
      </c>
      <c r="F101" s="23">
        <v>-4554</v>
      </c>
      <c r="G101" s="23">
        <v>-5196</v>
      </c>
      <c r="H101" s="23">
        <v>-8811</v>
      </c>
      <c r="I101" s="23">
        <v>-7526</v>
      </c>
      <c r="J101" s="23">
        <v>-8474</v>
      </c>
      <c r="K101" s="23">
        <v>-9416</v>
      </c>
      <c r="L101" s="23">
        <v>-12473</v>
      </c>
    </row>
    <row r="102" spans="2:13" x14ac:dyDescent="0.35">
      <c r="B102" t="s">
        <v>114</v>
      </c>
      <c r="C102" s="23">
        <v>0</v>
      </c>
      <c r="D102" s="23">
        <v>0</v>
      </c>
      <c r="E102" s="23">
        <v>0</v>
      </c>
      <c r="F102" s="23">
        <v>0</v>
      </c>
      <c r="G102" s="23">
        <v>-373</v>
      </c>
      <c r="H102" s="23">
        <v>-406</v>
      </c>
      <c r="I102" s="23">
        <v>-407</v>
      </c>
      <c r="J102" s="23">
        <v>-467</v>
      </c>
      <c r="K102" s="23">
        <v>-423</v>
      </c>
      <c r="L102" s="23">
        <v>-498</v>
      </c>
    </row>
    <row r="103" spans="2:13" x14ac:dyDescent="0.35">
      <c r="B103" t="s">
        <v>115</v>
      </c>
      <c r="C103" s="23">
        <v>-685</v>
      </c>
      <c r="D103" s="23">
        <v>-728</v>
      </c>
      <c r="E103" s="23">
        <v>-781</v>
      </c>
      <c r="F103" s="23">
        <v>-928</v>
      </c>
      <c r="G103" s="23">
        <v>-1061</v>
      </c>
      <c r="H103" s="23">
        <v>0</v>
      </c>
      <c r="I103" s="23">
        <v>0</v>
      </c>
      <c r="J103" s="23">
        <v>-2</v>
      </c>
      <c r="K103" s="23">
        <v>0</v>
      </c>
      <c r="L103" s="23">
        <v>0</v>
      </c>
    </row>
    <row r="104" spans="2:13" x14ac:dyDescent="0.35">
      <c r="B104" s="22" t="s">
        <v>120</v>
      </c>
      <c r="C104" s="24">
        <f>SUM(C97:C103)</f>
        <v>-3864</v>
      </c>
      <c r="D104" s="24">
        <f t="shared" ref="D104:L104" si="24">SUM(D97:D103)</f>
        <v>-4214</v>
      </c>
      <c r="E104" s="24">
        <f t="shared" si="24"/>
        <v>-4975</v>
      </c>
      <c r="F104" s="24">
        <f t="shared" si="24"/>
        <v>-5390</v>
      </c>
      <c r="G104" s="24">
        <f t="shared" si="24"/>
        <v>-6819</v>
      </c>
      <c r="H104" s="24">
        <f t="shared" si="24"/>
        <v>-9309</v>
      </c>
      <c r="I104" s="24">
        <f t="shared" si="24"/>
        <v>-8015</v>
      </c>
      <c r="J104" s="24">
        <f t="shared" si="24"/>
        <v>-8953</v>
      </c>
      <c r="K104" s="24">
        <f t="shared" si="24"/>
        <v>-10034</v>
      </c>
      <c r="L104" s="24">
        <f t="shared" si="24"/>
        <v>-13101</v>
      </c>
    </row>
    <row r="106" spans="2:13" x14ac:dyDescent="0.35">
      <c r="B106" s="22" t="s">
        <v>20</v>
      </c>
      <c r="C106" s="24">
        <f>IFERROR(SUM(C80,C94,C104),0)</f>
        <v>-56</v>
      </c>
      <c r="D106" s="24">
        <f t="shared" ref="D106:L106" si="25">IFERROR(SUM(D80,D94,D104),0)</f>
        <v>364</v>
      </c>
      <c r="E106" s="24">
        <f t="shared" si="25"/>
        <v>857</v>
      </c>
      <c r="F106" s="24">
        <f t="shared" si="25"/>
        <v>-370</v>
      </c>
      <c r="G106" s="24">
        <f t="shared" si="25"/>
        <v>3006</v>
      </c>
      <c r="H106" s="24">
        <f t="shared" si="25"/>
        <v>-1475</v>
      </c>
      <c r="I106" s="24">
        <f t="shared" si="25"/>
        <v>-1695</v>
      </c>
      <c r="J106" s="24">
        <f t="shared" si="25"/>
        <v>-1406</v>
      </c>
      <c r="K106" s="24">
        <f>IFERROR(SUM(K80,K94,K104),0)</f>
        <v>1424</v>
      </c>
      <c r="L106" s="24">
        <f t="shared" si="25"/>
        <v>4470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5E1B-25CC-46D7-BC2E-BA609D331DD6}">
  <dimension ref="B2:O41"/>
  <sheetViews>
    <sheetView showGridLines="0" zoomScale="88" zoomScaleNormal="106" workbookViewId="0">
      <selection activeCell="R13" sqref="R13"/>
    </sheetView>
  </sheetViews>
  <sheetFormatPr defaultRowHeight="14.5" x14ac:dyDescent="0.35"/>
  <cols>
    <col min="1" max="1" width="1.81640625" customWidth="1"/>
    <col min="2" max="2" width="27.26953125" bestFit="1" customWidth="1"/>
    <col min="3" max="7" width="10.90625" bestFit="1" customWidth="1"/>
    <col min="8" max="12" width="11.90625" bestFit="1" customWidth="1"/>
    <col min="13" max="13" width="16.26953125" customWidth="1"/>
    <col min="14" max="15" width="7.54296875" bestFit="1" customWidth="1"/>
  </cols>
  <sheetData>
    <row r="2" spans="2:15" x14ac:dyDescent="0.35"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40"/>
      <c r="N2" s="40"/>
      <c r="O2" s="40"/>
    </row>
    <row r="3" spans="2:15" x14ac:dyDescent="0.35">
      <c r="B3" s="41" t="s">
        <v>55</v>
      </c>
      <c r="C3" s="42">
        <f>'Data Sheet'!B16</f>
        <v>42460</v>
      </c>
      <c r="D3" s="42">
        <f>'Data Sheet'!C16</f>
        <v>42825</v>
      </c>
      <c r="E3" s="42">
        <f>'Data Sheet'!D16</f>
        <v>43190</v>
      </c>
      <c r="F3" s="42">
        <f>'Data Sheet'!E16</f>
        <v>43555</v>
      </c>
      <c r="G3" s="42">
        <f>'Data Sheet'!F16</f>
        <v>43921</v>
      </c>
      <c r="H3" s="42">
        <f>'Data Sheet'!G16</f>
        <v>44286</v>
      </c>
      <c r="I3" s="42">
        <f>'Data Sheet'!H16</f>
        <v>44651</v>
      </c>
      <c r="J3" s="42">
        <f>'Data Sheet'!I16</f>
        <v>45016</v>
      </c>
      <c r="K3" s="42">
        <f>'Data Sheet'!J16</f>
        <v>45382</v>
      </c>
      <c r="L3" s="42">
        <f>'Data Sheet'!K16</f>
        <v>45747</v>
      </c>
      <c r="M3" s="26" t="s">
        <v>154</v>
      </c>
      <c r="N3" s="26" t="s">
        <v>152</v>
      </c>
      <c r="O3" s="26" t="s">
        <v>153</v>
      </c>
    </row>
    <row r="5" spans="2:15" x14ac:dyDescent="0.35">
      <c r="B5" s="29" t="s">
        <v>121</v>
      </c>
      <c r="C5" s="30"/>
      <c r="D5" s="30">
        <f>IFERROR('Historical FS'!D6,0)</f>
        <v>3.03237432424035E-2</v>
      </c>
      <c r="E5" s="30">
        <f>IFERROR('Historical FS'!E6,0)</f>
        <v>7.1859357095470644E-2</v>
      </c>
      <c r="F5" s="30">
        <f>IFERROR('Historical FS'!F6,0)</f>
        <v>0.1059220706147137</v>
      </c>
      <c r="G5" s="30">
        <f>IFERROR('Historical FS'!G6,0)</f>
        <v>1.2032561689137689E-2</v>
      </c>
      <c r="H5" s="30">
        <f>IFERROR('Historical FS'!H6,0)</f>
        <v>0.18211296282331646</v>
      </c>
      <c r="I5" s="30">
        <f>IFERROR('Historical FS'!I6,0)</f>
        <v>0.11520796121459553</v>
      </c>
      <c r="J5" s="30">
        <f>IFERROR('Historical FS'!J6,0)</f>
        <v>0.15509285741524614</v>
      </c>
      <c r="K5" s="30">
        <f>IFERROR('Historical FS'!K6,0)</f>
        <v>2.1723341036645749E-2</v>
      </c>
      <c r="L5" s="30">
        <f>IFERROR('Historical FS'!L6,0)</f>
        <v>1.9791262763344974E-2</v>
      </c>
      <c r="M5" s="29"/>
      <c r="N5" s="43">
        <f>IFERROR(AVERAGE(D5:L5),0)</f>
        <v>7.9340679766097155E-2</v>
      </c>
      <c r="O5" s="43">
        <f>IFERROR(MEDIAN(D5:L5),0)</f>
        <v>7.1859357095470644E-2</v>
      </c>
    </row>
    <row r="6" spans="2:15" x14ac:dyDescent="0.35">
      <c r="B6" t="s">
        <v>122</v>
      </c>
      <c r="C6" s="31"/>
      <c r="D6" s="31">
        <f>IFERROR('Historical FS'!D17/'Historical FS'!C17-1,0)</f>
        <v>7.0727580372250465E-2</v>
      </c>
      <c r="E6" s="31">
        <f>IFERROR('Historical FS'!E17/'Historical FS'!D17-1,0)</f>
        <v>0.1850505689001265</v>
      </c>
      <c r="F6" s="31">
        <f>IFERROR('Historical FS'!F17/'Historical FS'!E17-1,0)</f>
        <v>0.1841578877183625</v>
      </c>
      <c r="G6" s="31">
        <f>IFERROR('Historical FS'!G17/'Historical FS'!F17-1,0)</f>
        <v>0.11047297297297298</v>
      </c>
      <c r="H6" s="31">
        <f>IFERROR('Historical FS'!H17/'Historical FS'!G17-1,0)</f>
        <v>0.1789879322583916</v>
      </c>
      <c r="I6" s="31">
        <f>IFERROR('Historical FS'!I17/'Historical FS'!H17-1,0)</f>
        <v>0.10588336487183891</v>
      </c>
      <c r="J6" s="31">
        <f>IFERROR('Historical FS'!J17/'Historical FS'!I17-1,0)</f>
        <v>0.10033444816053505</v>
      </c>
      <c r="K6" s="31">
        <f>IFERROR('Historical FS'!K17/'Historical FS'!J17-1,0)</f>
        <v>3.6191418675337594E-2</v>
      </c>
      <c r="L6" s="31">
        <f>IFERROR('Historical FS'!L17/'Historical FS'!K17-1,0)</f>
        <v>1.255201582645471E-2</v>
      </c>
      <c r="N6" s="44">
        <f t="shared" ref="N6:N9" si="0">IFERROR(AVERAGE(D6:L6),0)</f>
        <v>0.10937313219514115</v>
      </c>
      <c r="O6" s="44">
        <f t="shared" ref="O6:O9" si="1">IFERROR(MEDIAN(D6:L6),0)</f>
        <v>0.10588336487183891</v>
      </c>
    </row>
    <row r="7" spans="2:15" x14ac:dyDescent="0.35">
      <c r="B7" t="s">
        <v>123</v>
      </c>
      <c r="C7" s="31"/>
      <c r="D7" s="31">
        <f>IFERROR('Historical FS'!D26/'Historical FS'!C26-1,0)</f>
        <v>5.794223826714795E-2</v>
      </c>
      <c r="E7" s="31">
        <f>IFERROR('Historical FS'!E26/'Historical FS'!D26-1,0)</f>
        <v>0.18631632827162603</v>
      </c>
      <c r="F7" s="31">
        <f>IFERROR('Historical FS'!F26/'Historical FS'!E26-1,0)</f>
        <v>0.19114051488566086</v>
      </c>
      <c r="G7" s="31">
        <f>IFERROR('Historical FS'!G26/'Historical FS'!F26-1,0)</f>
        <v>5.5421395798116446E-2</v>
      </c>
      <c r="H7" s="31">
        <f>IFERROR('Historical FS'!H26/'Historical FS'!G26-1,0)</f>
        <v>0.19379933646035918</v>
      </c>
      <c r="I7" s="31">
        <f>IFERROR('Historical FS'!I26/'Historical FS'!H26-1,0)</f>
        <v>0.11739338763775753</v>
      </c>
      <c r="J7" s="31">
        <f>IFERROR('Historical FS'!J26/'Historical FS'!I26-1,0)</f>
        <v>0.10600343053173233</v>
      </c>
      <c r="K7" s="31">
        <f>IFERROR('Historical FS'!K26/'Historical FS'!J26-1,0)</f>
        <v>1.6516749379652529E-2</v>
      </c>
      <c r="L7" s="31">
        <f>IFERROR('Historical FS'!L26/'Historical FS'!K26-1,0)</f>
        <v>-1.2205355099550452E-3</v>
      </c>
      <c r="N7" s="44">
        <f t="shared" si="0"/>
        <v>0.10259031619134421</v>
      </c>
      <c r="O7" s="44">
        <f t="shared" si="1"/>
        <v>0.10600343053173233</v>
      </c>
    </row>
    <row r="8" spans="2:15" x14ac:dyDescent="0.35">
      <c r="B8" t="s">
        <v>124</v>
      </c>
      <c r="C8" s="31"/>
      <c r="D8" s="31">
        <f>IFERROR('Historical FS'!D32/'Historical FS'!C32-1,0)</f>
        <v>5.9754433833560716E-2</v>
      </c>
      <c r="E8" s="31">
        <f>IFERROR('Historical FS'!E32/'Historical FS'!D32-1,0)</f>
        <v>0.2548918640576725</v>
      </c>
      <c r="F8" s="31">
        <f>IFERROR('Historical FS'!F32/'Historical FS'!E32-1,0)</f>
        <v>0.17726713171932706</v>
      </c>
      <c r="G8" s="31">
        <f>IFERROR('Historical FS'!G32/'Historical FS'!F32-1,0)</f>
        <v>0.10352039037992333</v>
      </c>
      <c r="H8" s="31">
        <f>IFERROR('Historical FS'!H32/'Historical FS'!G32-1,0)</f>
        <v>0.23641819330385339</v>
      </c>
      <c r="I8" s="31">
        <f>IFERROR('Historical FS'!I32/'Historical FS'!H32-1,0)</f>
        <v>0.10780431728190054</v>
      </c>
      <c r="J8" s="31">
        <f>IFERROR('Historical FS'!J32/'Historical FS'!I32-1,0)</f>
        <v>0.11783696529459231</v>
      </c>
      <c r="K8" s="31">
        <f>IFERROR('Historical FS'!K32/'Historical FS'!J32-1,0)</f>
        <v>-2.372356884992266E-2</v>
      </c>
      <c r="L8" s="31">
        <f>IFERROR('Historical FS'!L32/'Historical FS'!K32-1,0)</f>
        <v>-1.2255678816693094E-2</v>
      </c>
      <c r="N8" s="44">
        <f t="shared" si="0"/>
        <v>0.11350156091157936</v>
      </c>
      <c r="O8" s="44">
        <f t="shared" si="1"/>
        <v>0.10780431728190054</v>
      </c>
    </row>
    <row r="9" spans="2:15" x14ac:dyDescent="0.35">
      <c r="B9" s="32" t="s">
        <v>125</v>
      </c>
      <c r="C9" s="33"/>
      <c r="D9" s="33">
        <f>IFERROR('Historical FS'!D40/'Historical FS'!C40-1,0)</f>
        <v>6.2303631659196945E-2</v>
      </c>
      <c r="E9" s="33">
        <f>IFERROR('Historical FS'!E40/'Historical FS'!D40-1,0)</f>
        <v>0.17636188224423521</v>
      </c>
      <c r="F9" s="33">
        <f>IFERROR('Historical FS'!F40/'Historical FS'!E40-1,0)</f>
        <v>9.989836928904694E-2</v>
      </c>
      <c r="G9" s="33">
        <f>IFERROR('Historical FS'!G40/'Historical FS'!F40-1,0)</f>
        <v>0.13631114358664265</v>
      </c>
      <c r="H9" s="33">
        <f>IFERROR('Historical FS'!H40/'Historical FS'!G40-1,0)</f>
        <v>0.62387640449438186</v>
      </c>
      <c r="I9" s="33">
        <f>IFERROR('Historical FS'!I40/'Historical FS'!H40-1,0)</f>
        <v>-0.16049382716049365</v>
      </c>
      <c r="J9" s="33">
        <f>IFERROR('Historical FS'!J40/'Historical FS'!I40-1,0)</f>
        <v>0.14705882352941169</v>
      </c>
      <c r="K9" s="33">
        <f>IFERROR('Historical FS'!K40/'Historical FS'!J40-1,0)</f>
        <v>7.6923076923076872E-2</v>
      </c>
      <c r="L9" s="33">
        <f>IFERROR('Historical FS'!L40/'Historical FS'!K40-1,0)</f>
        <v>0.26190476190476186</v>
      </c>
      <c r="M9" s="32"/>
      <c r="N9" s="45">
        <f t="shared" si="0"/>
        <v>0.15823825183002893</v>
      </c>
      <c r="O9" s="45">
        <f t="shared" si="1"/>
        <v>0.13631114358664265</v>
      </c>
    </row>
    <row r="11" spans="2:15" x14ac:dyDescent="0.35">
      <c r="B11" s="29" t="s">
        <v>63</v>
      </c>
      <c r="C11" s="30">
        <f>IFERROR('Historical FS'!C12,0)</f>
        <v>0.43385322811160132</v>
      </c>
      <c r="D11" s="30">
        <f>IFERROR('Historical FS'!D12,0)</f>
        <v>0.43685543694590195</v>
      </c>
      <c r="E11" s="30">
        <f>IFERROR('Historical FS'!E12,0)</f>
        <v>0.45663243775495849</v>
      </c>
      <c r="F11" s="30">
        <f>IFERROR('Historical FS'!F12,0)</f>
        <v>0.46372424319511574</v>
      </c>
      <c r="G11" s="30">
        <f>IFERROR('Historical FS'!G12,0)</f>
        <v>0.48183897644722617</v>
      </c>
      <c r="H11" s="30">
        <f>IFERROR('Historical FS'!H12,0)</f>
        <v>0.46200136089138388</v>
      </c>
      <c r="I11" s="30">
        <f>IFERROR('Historical FS'!I12,0)</f>
        <v>0.44579186210578498</v>
      </c>
      <c r="J11" s="30">
        <f>IFERROR('Historical FS'!J12,0)</f>
        <v>0.41596236381644108</v>
      </c>
      <c r="K11" s="30">
        <f>IFERROR('Historical FS'!K12,0)</f>
        <v>0.45632997285769678</v>
      </c>
      <c r="L11" s="30">
        <f>IFERROR('Historical FS'!L12,0)</f>
        <v>0.45297127738787407</v>
      </c>
      <c r="M11" s="29"/>
      <c r="N11" s="43">
        <f>IFERROR(AVERAGE(C11:L11),0)</f>
        <v>0.45059611595139842</v>
      </c>
      <c r="O11" s="43">
        <f>IFERROR(MEDIAN(C11:L11),0)</f>
        <v>0.45465062512278542</v>
      </c>
    </row>
    <row r="12" spans="2:15" x14ac:dyDescent="0.35">
      <c r="B12" t="s">
        <v>126</v>
      </c>
      <c r="C12" s="31">
        <f>IFERROR('Historical FS'!C18,0)</f>
        <v>0.18362020754365252</v>
      </c>
      <c r="D12" s="31">
        <f>IFERROR('Historical FS'!D18,0)</f>
        <v>0.1908208190097099</v>
      </c>
      <c r="E12" s="31">
        <f>IFERROR('Historical FS'!E18,0)</f>
        <v>0.21097200731467156</v>
      </c>
      <c r="F12" s="31">
        <f>IFERROR('Historical FS'!F18,0)</f>
        <v>0.2258967183922666</v>
      </c>
      <c r="G12" s="31">
        <f>IFERROR('Historical FS'!G18,0)</f>
        <v>0.24786969308498605</v>
      </c>
      <c r="H12" s="31">
        <f>IFERROR('Historical FS'!H18,0)</f>
        <v>0.24721442544866887</v>
      </c>
      <c r="I12" s="31">
        <f>IFERROR('Historical FS'!I18,0)</f>
        <v>0.24514738969606834</v>
      </c>
      <c r="J12" s="31">
        <f>IFERROR('Historical FS'!J18,0)</f>
        <v>0.23352591614394189</v>
      </c>
      <c r="K12" s="31">
        <f>IFERROR('Historical FS'!K18,0)</f>
        <v>0.23683275171255008</v>
      </c>
      <c r="L12" s="31">
        <f>IFERROR('Historical FS'!L18,0)</f>
        <v>0.23515153435465216</v>
      </c>
      <c r="N12" s="44">
        <f t="shared" ref="N12:N41" si="2">IFERROR(AVERAGE(C12:L12),0)</f>
        <v>0.22570514627011679</v>
      </c>
      <c r="O12" s="44">
        <f t="shared" ref="O12:O41" si="3">IFERROR(MEDIAN(C12:L12),0)</f>
        <v>0.23433872524929703</v>
      </c>
    </row>
    <row r="13" spans="2:15" x14ac:dyDescent="0.35">
      <c r="B13" t="s">
        <v>127</v>
      </c>
      <c r="C13" s="31">
        <f>IFERROR(('Historical FS'!C17-'Historical FS'!C23)/'Historical FS'!C5,0)</f>
        <v>0.17265270614552911</v>
      </c>
      <c r="D13" s="31">
        <f>IFERROR(('Historical FS'!D17-'Historical FS'!D23)/'Historical FS'!D5,0)</f>
        <v>0.17779386044267534</v>
      </c>
      <c r="E13" s="31">
        <f>IFERROR(('Historical FS'!E17-'Historical FS'!E23)/'Historical FS'!E5,0)</f>
        <v>0.19634266422844282</v>
      </c>
      <c r="F13" s="31">
        <f>IFERROR(('Historical FS'!F17-'Historical FS'!F23)/'Historical FS'!F5,0)</f>
        <v>0.21152378529636226</v>
      </c>
      <c r="G13" s="31">
        <f>IFERROR(('Historical FS'!G17-'Historical FS'!G23)/'Historical FS'!G5,0)</f>
        <v>0.22268305557650253</v>
      </c>
      <c r="H13" s="31">
        <f>IFERROR(('Historical FS'!H17-'Historical FS'!H23)/'Historical FS'!H5,0)</f>
        <v>0.22437696691332823</v>
      </c>
      <c r="I13" s="31">
        <f>IFERROR(('Historical FS'!I17-'Historical FS'!I23)/'Historical FS'!I5,0)</f>
        <v>0.22434504061320215</v>
      </c>
      <c r="J13" s="31">
        <f>IFERROR(('Historical FS'!J17-'Historical FS'!J23)/'Historical FS'!J5,0)</f>
        <v>0.21475734565863322</v>
      </c>
      <c r="K13" s="31">
        <f>IFERROR(('Historical FS'!K17-'Historical FS'!K23)/'Historical FS'!K5,0)</f>
        <v>0.21718689414501746</v>
      </c>
      <c r="L13" s="31">
        <f>IFERROR(('Historical FS'!L17-'Historical FS'!L23)/'Historical FS'!L5,0)</f>
        <v>0.21368482755342913</v>
      </c>
      <c r="N13" s="44">
        <f t="shared" si="2"/>
        <v>0.20753471465731224</v>
      </c>
      <c r="O13" s="44">
        <f t="shared" si="3"/>
        <v>0.21422108660603117</v>
      </c>
    </row>
    <row r="14" spans="2:15" x14ac:dyDescent="0.35">
      <c r="B14" t="s">
        <v>128</v>
      </c>
      <c r="C14" s="31">
        <f>IFERROR('Historical FS'!C27,0)</f>
        <v>0.17212452619151183</v>
      </c>
      <c r="D14" s="31">
        <f>IFERROR('Historical FS'!D27,0)</f>
        <v>0.17673843555877208</v>
      </c>
      <c r="E14" s="31">
        <f>IFERROR('Historical FS'!E27,0)</f>
        <v>0.19561119707413138</v>
      </c>
      <c r="F14" s="31">
        <f>IFERROR('Historical FS'!F27,0)</f>
        <v>0.21068430424828288</v>
      </c>
      <c r="G14" s="31">
        <f>IFERROR('Historical FS'!G27,0)</f>
        <v>0.21971696453258929</v>
      </c>
      <c r="H14" s="31">
        <f>IFERROR('Historical FS'!H27,0)</f>
        <v>0.22188908735221571</v>
      </c>
      <c r="I14" s="31">
        <f>IFERROR('Historical FS'!I27,0)</f>
        <v>0.22232391412119132</v>
      </c>
      <c r="J14" s="31">
        <f>IFERROR('Historical FS'!J27,0)</f>
        <v>0.21287553648068669</v>
      </c>
      <c r="K14" s="31">
        <f>IFERROR('Historical FS'!K27,0)</f>
        <v>0.2117907457670932</v>
      </c>
      <c r="L14" s="31">
        <f>IFERROR('Historical FS'!L27,0)</f>
        <v>0.20742700527558183</v>
      </c>
      <c r="N14" s="44">
        <f t="shared" si="2"/>
        <v>0.2051181716602056</v>
      </c>
      <c r="O14" s="44">
        <f t="shared" si="3"/>
        <v>0.21123752500768805</v>
      </c>
    </row>
    <row r="15" spans="2:15" x14ac:dyDescent="0.35">
      <c r="B15" s="32" t="s">
        <v>129</v>
      </c>
      <c r="C15" s="33">
        <f>IFERROR('Historical FS'!C33,0)</f>
        <v>0.11386938420431243</v>
      </c>
      <c r="D15" s="33">
        <f>IFERROR('Historical FS'!D33,0)</f>
        <v>0.11712200711657922</v>
      </c>
      <c r="E15" s="33">
        <f>IFERROR('Historical FS'!E33,0)</f>
        <v>0.1371219580813054</v>
      </c>
      <c r="F15" s="33">
        <f>IFERROR('Historical FS'!F33,0)</f>
        <v>0.14596794708725516</v>
      </c>
      <c r="G15" s="33">
        <f>IFERROR('Historical FS'!G33,0)</f>
        <v>0.15916346178015736</v>
      </c>
      <c r="H15" s="33">
        <f>IFERROR('Historical FS'!H33,0)</f>
        <v>0.16647529131581185</v>
      </c>
      <c r="I15" s="33">
        <f>IFERROR('Historical FS'!I33,0)</f>
        <v>0.16537009495481067</v>
      </c>
      <c r="J15" s="33">
        <f>IFERROR('Historical FS'!J33,0)</f>
        <v>0.16003631561571477</v>
      </c>
      <c r="K15" s="33">
        <f>IFERROR('Historical FS'!K33,0)</f>
        <v>0.15291779759596744</v>
      </c>
      <c r="L15" s="33">
        <f>IFERROR('Historical FS'!L33,0)</f>
        <v>0.14811235563441644</v>
      </c>
      <c r="M15" s="32"/>
      <c r="N15" s="45">
        <f t="shared" si="2"/>
        <v>0.14661566133863307</v>
      </c>
      <c r="O15" s="45">
        <f t="shared" si="3"/>
        <v>0.15051507661519192</v>
      </c>
    </row>
    <row r="16" spans="2:15" x14ac:dyDescent="0.35">
      <c r="N16" s="44"/>
      <c r="O16" s="44"/>
    </row>
    <row r="17" spans="2:15" x14ac:dyDescent="0.35">
      <c r="B17" s="29" t="s">
        <v>130</v>
      </c>
      <c r="C17" s="30">
        <f>IFERROR('Historical FS'!C15,0)</f>
        <v>0.25023302056794877</v>
      </c>
      <c r="D17" s="30">
        <f>IFERROR('Historical FS'!D15,0)</f>
        <v>0.24603461793619202</v>
      </c>
      <c r="E17" s="30">
        <f>IFERROR('Historical FS'!E15,0)</f>
        <v>0.24566043044028696</v>
      </c>
      <c r="F17" s="30">
        <f>IFERROR('Historical FS'!F15,0)</f>
        <v>0.23782752480284916</v>
      </c>
      <c r="G17" s="30">
        <f>IFERROR('Historical FS'!G15,0)</f>
        <v>0.23396928336224015</v>
      </c>
      <c r="H17" s="30">
        <f>IFERROR('Historical FS'!H15,0)</f>
        <v>0.21478693544271499</v>
      </c>
      <c r="I17" s="30">
        <f>IFERROR('Historical FS'!I15,0)</f>
        <v>0.20064447240971667</v>
      </c>
      <c r="J17" s="30">
        <f>IFERROR('Historical FS'!J15,0)</f>
        <v>0.18243644767249917</v>
      </c>
      <c r="K17" s="30">
        <f>IFERROR('Historical FS'!K15,0)</f>
        <v>0.21949722114514669</v>
      </c>
      <c r="L17" s="30">
        <f>IFERROR('Historical FS'!L15,0)</f>
        <v>0.21781974303322191</v>
      </c>
      <c r="M17" s="29"/>
      <c r="N17" s="43">
        <f t="shared" si="2"/>
        <v>0.22489096968128167</v>
      </c>
      <c r="O17" s="43">
        <f t="shared" si="3"/>
        <v>0.22673325225369342</v>
      </c>
    </row>
    <row r="18" spans="2:15" x14ac:dyDescent="0.35">
      <c r="B18" t="s">
        <v>131</v>
      </c>
      <c r="C18" s="31">
        <f>IFERROR('Historical FS'!C24,0)</f>
        <v>1.0967501398123409E-2</v>
      </c>
      <c r="D18" s="31">
        <f>IFERROR('Historical FS'!D24,0)</f>
        <v>1.3026958567034558E-2</v>
      </c>
      <c r="E18" s="31">
        <f>IFERROR('Historical FS'!E24,0)</f>
        <v>1.4629343086228723E-2</v>
      </c>
      <c r="F18" s="31">
        <f>IFERROR('Historical FS'!F24,0)</f>
        <v>1.437293309590435E-2</v>
      </c>
      <c r="G18" s="31">
        <f>IFERROR('Historical FS'!G24,0)</f>
        <v>2.5186637508483524E-2</v>
      </c>
      <c r="H18" s="31">
        <f>IFERROR('Historical FS'!H24,0)</f>
        <v>2.2837458535340648E-2</v>
      </c>
      <c r="I18" s="31">
        <f>IFERROR('Historical FS'!I24,0)</f>
        <v>2.0802349082866187E-2</v>
      </c>
      <c r="J18" s="31">
        <f>IFERROR('Historical FS'!J24,0)</f>
        <v>1.8768570485308684E-2</v>
      </c>
      <c r="K18" s="31">
        <f>IFERROR('Historical FS'!K24,0)</f>
        <v>1.9645857567532635E-2</v>
      </c>
      <c r="L18" s="31">
        <f>IFERROR('Historical FS'!L24,0)</f>
        <v>2.1466706801223048E-2</v>
      </c>
      <c r="N18" s="44">
        <f t="shared" si="2"/>
        <v>1.8170431612804579E-2</v>
      </c>
      <c r="O18" s="44">
        <f t="shared" si="3"/>
        <v>1.9207214026420658E-2</v>
      </c>
    </row>
    <row r="19" spans="2:15" x14ac:dyDescent="0.35">
      <c r="B19" s="32" t="s">
        <v>132</v>
      </c>
      <c r="C19" s="33">
        <f t="shared" ref="C19:L19" si="4">IFERROR(C13,0)</f>
        <v>0.17265270614552911</v>
      </c>
      <c r="D19" s="33">
        <f t="shared" si="4"/>
        <v>0.17779386044267534</v>
      </c>
      <c r="E19" s="33">
        <f t="shared" si="4"/>
        <v>0.19634266422844282</v>
      </c>
      <c r="F19" s="33">
        <f t="shared" si="4"/>
        <v>0.21152378529636226</v>
      </c>
      <c r="G19" s="33">
        <f t="shared" si="4"/>
        <v>0.22268305557650253</v>
      </c>
      <c r="H19" s="33">
        <f t="shared" si="4"/>
        <v>0.22437696691332823</v>
      </c>
      <c r="I19" s="33">
        <f t="shared" si="4"/>
        <v>0.22434504061320215</v>
      </c>
      <c r="J19" s="33">
        <f t="shared" si="4"/>
        <v>0.21475734565863322</v>
      </c>
      <c r="K19" s="33">
        <f t="shared" si="4"/>
        <v>0.21718689414501746</v>
      </c>
      <c r="L19" s="33">
        <f t="shared" si="4"/>
        <v>0.21368482755342913</v>
      </c>
      <c r="M19" s="32"/>
      <c r="N19" s="45">
        <f t="shared" si="2"/>
        <v>0.20753471465731224</v>
      </c>
      <c r="O19" s="45">
        <f t="shared" si="3"/>
        <v>0.21422108660603117</v>
      </c>
    </row>
    <row r="20" spans="2:15" x14ac:dyDescent="0.35">
      <c r="N20" s="44"/>
      <c r="O20" s="44"/>
    </row>
    <row r="21" spans="2:15" x14ac:dyDescent="0.35">
      <c r="B21" s="29" t="s">
        <v>133</v>
      </c>
      <c r="C21" s="30">
        <f>IFERROR(('Historical FS'!C17-'Historical FS'!C23)/(SUM('Historical FS'!C46:C48)),0)</f>
        <v>0.82325925925925925</v>
      </c>
      <c r="D21" s="30">
        <f>IFERROR(('Historical FS'!D17-'Historical FS'!D23)/(SUM('Historical FS'!D46:D48)),0)</f>
        <v>0.83976641504059246</v>
      </c>
      <c r="E21" s="30">
        <f>IFERROR(('Historical FS'!E17-'Historical FS'!E23)/(SUM('Historical FS'!E46:E48)),0)</f>
        <v>0.95852218101909081</v>
      </c>
      <c r="F21" s="30">
        <f>IFERROR(('Historical FS'!F17-'Historical FS'!F23)/(SUM('Historical FS'!F46:F48)),0)</f>
        <v>1.0438111975897564</v>
      </c>
      <c r="G21" s="30">
        <f>IFERROR(('Historical FS'!G17-'Historical FS'!G23)/(SUM('Historical FS'!G46:G48)),0)</f>
        <v>1.0765585125774699</v>
      </c>
      <c r="H21" s="30">
        <f>IFERROR(('Historical FS'!H17-'Historical FS'!H23)/(SUM('Historical FS'!H46:H48)),0)</f>
        <v>0.22133657758946176</v>
      </c>
      <c r="I21" s="30">
        <f>IFERROR(('Historical FS'!I17-'Historical FS'!I23)/(SUM('Historical FS'!I46:I48)),0)</f>
        <v>0.23483155037521955</v>
      </c>
      <c r="J21" s="30">
        <f>IFERROR(('Historical FS'!J17-'Historical FS'!J23)/(SUM('Historical FS'!J46:J48)),0)</f>
        <v>0.25250858839741475</v>
      </c>
      <c r="K21" s="30">
        <f>IFERROR(('Historical FS'!K17-'Historical FS'!K23)/(SUM('Historical FS'!K46:K48)),0)</f>
        <v>0.25507570870175705</v>
      </c>
      <c r="L21" s="30">
        <f>IFERROR(('Historical FS'!L17-'Historical FS'!L23)/(SUM('Historical FS'!L46:L48)),0)</f>
        <v>0.26421155729676787</v>
      </c>
      <c r="M21" s="29"/>
      <c r="N21" s="43">
        <f t="shared" si="2"/>
        <v>0.59698815478467915</v>
      </c>
      <c r="O21" s="43">
        <f t="shared" si="3"/>
        <v>0.54373540827801348</v>
      </c>
    </row>
    <row r="22" spans="2:15" x14ac:dyDescent="0.35">
      <c r="B22" t="s">
        <v>134</v>
      </c>
      <c r="C22" s="31">
        <f>'Historical FS'!C43</f>
        <v>5.7025920873124192E-2</v>
      </c>
      <c r="D22" s="31">
        <f>'Historical FS'!D43</f>
        <v>5.4582904222451045E-2</v>
      </c>
      <c r="E22" s="31">
        <f>'Historical FS'!E43</f>
        <v>0.11366434140336479</v>
      </c>
      <c r="F22" s="31">
        <f>'Historical FS'!F43</f>
        <v>0.17183687696061345</v>
      </c>
      <c r="G22" s="31">
        <f>'Historical FS'!G43</f>
        <v>0.14718888186986734</v>
      </c>
      <c r="H22" s="31">
        <f>'Historical FS'!H43</f>
        <v>-0.21567249968067426</v>
      </c>
      <c r="I22" s="31">
        <f>'Historical FS'!I43</f>
        <v>7.8750144125446675E-2</v>
      </c>
      <c r="J22" s="31">
        <f>'Historical FS'!J43</f>
        <v>5.4667354306343507E-2</v>
      </c>
      <c r="K22" s="31">
        <f>'Historical FS'!K43</f>
        <v>-4.2789223454833714E-2</v>
      </c>
      <c r="L22" s="31">
        <f>'Historical FS'!L43</f>
        <v>-0.3322280457802973</v>
      </c>
      <c r="N22" s="44">
        <f t="shared" si="2"/>
        <v>8.7026654845405726E-3</v>
      </c>
      <c r="O22" s="44">
        <f t="shared" si="3"/>
        <v>5.584663758973385E-2</v>
      </c>
    </row>
    <row r="23" spans="2:15" x14ac:dyDescent="0.35">
      <c r="B23" t="s">
        <v>135</v>
      </c>
      <c r="C23" s="31">
        <f>IFERROR('Historical FS'!C32/SUM('Historical FS'!C46:C47),0)</f>
        <v>0.55758405598661187</v>
      </c>
      <c r="D23" s="31">
        <f>IFERROR('Historical FS'!D32/SUM('Historical FS'!D46:D47),0)</f>
        <v>0.57591933570581255</v>
      </c>
      <c r="E23" s="31">
        <f>IFERROR('Historical FS'!E32/SUM('Historical FS'!E46:E47),0)</f>
        <v>0.6694135420958659</v>
      </c>
      <c r="F23" s="31">
        <f>IFERROR('Historical FS'!F32/SUM('Historical FS'!F46:F47),0)</f>
        <v>0.72937587390364811</v>
      </c>
      <c r="G23" s="31">
        <f>IFERROR('Historical FS'!G32/SUM('Historical FS'!G46:G47),0)</f>
        <v>0.76947381212784061</v>
      </c>
      <c r="H23" s="31">
        <f>IFERROR('Historical FS'!H32/SUM('Historical FS'!H46:H47),0)</f>
        <v>0.16421949070772329</v>
      </c>
      <c r="I23" s="31">
        <f>IFERROR('Historical FS'!I32/SUM('Historical FS'!I46:I47),0)</f>
        <v>0.1767799270296162</v>
      </c>
      <c r="J23" s="31">
        <f>IFERROR('Historical FS'!J32/SUM('Historical FS'!J46:J47),0)</f>
        <v>0.19272821246819338</v>
      </c>
      <c r="K23" s="31">
        <f>IFERROR('Historical FS'!K32/SUM('Historical FS'!K46:K47),0)</f>
        <v>0.18479831309305322</v>
      </c>
      <c r="L23" s="31">
        <f>IFERROR('Historical FS'!L32/SUM('Historical FS'!L46:L47),0)</f>
        <v>0.18924335047164081</v>
      </c>
      <c r="N23" s="44">
        <f t="shared" si="2"/>
        <v>0.42095359135900062</v>
      </c>
      <c r="O23" s="44">
        <f t="shared" si="3"/>
        <v>0.37515613422740263</v>
      </c>
    </row>
    <row r="24" spans="2:15" x14ac:dyDescent="0.35">
      <c r="B24" t="s">
        <v>136</v>
      </c>
      <c r="C24" s="31">
        <f>IFERROR(C22*C23,0)</f>
        <v>3.1796744256808181E-2</v>
      </c>
      <c r="D24" s="31">
        <f t="shared" ref="D24:L24" si="5">IFERROR(D22*D23,0)</f>
        <v>3.1435349940687994E-2</v>
      </c>
      <c r="E24" s="31">
        <f t="shared" si="5"/>
        <v>7.6088449388820215E-2</v>
      </c>
      <c r="F24" s="31">
        <f t="shared" si="5"/>
        <v>0.12533367230202108</v>
      </c>
      <c r="G24" s="31">
        <f t="shared" si="5"/>
        <v>0.11325799003524123</v>
      </c>
      <c r="H24" s="31">
        <f t="shared" si="5"/>
        <v>-3.5417628057221942E-2</v>
      </c>
      <c r="I24" s="31">
        <f t="shared" si="5"/>
        <v>1.3921444732068222E-2</v>
      </c>
      <c r="J24" s="31">
        <f t="shared" si="5"/>
        <v>1.0535941475826979E-2</v>
      </c>
      <c r="K24" s="31">
        <f t="shared" si="5"/>
        <v>-7.9073763130149775E-3</v>
      </c>
      <c r="L24" s="31">
        <f t="shared" si="5"/>
        <v>-6.2871948504109126E-2</v>
      </c>
      <c r="N24" s="44">
        <f t="shared" si="2"/>
        <v>2.9617263925712789E-2</v>
      </c>
      <c r="O24" s="44">
        <f t="shared" si="3"/>
        <v>2.2678397336378109E-2</v>
      </c>
    </row>
    <row r="25" spans="2:15" x14ac:dyDescent="0.35">
      <c r="B25" s="32" t="s">
        <v>137</v>
      </c>
      <c r="C25" s="34">
        <f>(('Historical FS'!C17-'Historical FS'!C23)/'Historical FS'!C20)</f>
        <v>326.88235294117646</v>
      </c>
      <c r="D25" s="34">
        <f>(('Historical FS'!D17-'Historical FS'!D23)/'Historical FS'!D20)</f>
        <v>168.45714285714286</v>
      </c>
      <c r="E25" s="34">
        <f>(('Historical FS'!E17-'Historical FS'!E23)/'Historical FS'!E20)</f>
        <v>268.42307692307691</v>
      </c>
      <c r="F25" s="34">
        <f>(('Historical FS'!F17-'Historical FS'!F23)/'Historical FS'!F20)</f>
        <v>251.96969696969697</v>
      </c>
      <c r="G25" s="34">
        <f>(('Historical FS'!G17-'Historical FS'!G23)/'Historical FS'!G20)</f>
        <v>75.076271186440678</v>
      </c>
      <c r="H25" s="34">
        <f>(('Historical FS'!H17-'Historical FS'!H23)/'Historical FS'!H20)</f>
        <v>90.188034188034194</v>
      </c>
      <c r="I25" s="34">
        <f>(('Historical FS'!I17-'Historical FS'!I23)/'Historical FS'!I20)</f>
        <v>111</v>
      </c>
      <c r="J25" s="34">
        <f>(('Historical FS'!J17-'Historical FS'!J23)/'Historical FS'!J20)</f>
        <v>114.12280701754386</v>
      </c>
      <c r="K25" s="34">
        <f>(('Historical FS'!K17-'Historical FS'!K23)/'Historical FS'!K20)</f>
        <v>40.248502994011979</v>
      </c>
      <c r="L25" s="34">
        <f>(('Historical FS'!L17-'Historical FS'!L23)/'Historical FS'!L20)</f>
        <v>34.146835443037972</v>
      </c>
      <c r="M25" s="32"/>
      <c r="N25" s="45">
        <f t="shared" si="2"/>
        <v>148.05147205201621</v>
      </c>
      <c r="O25" s="45">
        <f t="shared" si="3"/>
        <v>112.56140350877193</v>
      </c>
    </row>
    <row r="26" spans="2:15" x14ac:dyDescent="0.35">
      <c r="N26" s="44"/>
      <c r="O26" s="44"/>
    </row>
    <row r="27" spans="2:15" x14ac:dyDescent="0.35">
      <c r="B27" s="29" t="s">
        <v>138</v>
      </c>
      <c r="C27" s="35">
        <f>'Historical FS'!C5/'Historical FS'!C58</f>
        <v>25.463607594936708</v>
      </c>
      <c r="D27" s="35">
        <f>'Historical FS'!D5/'Historical FS'!D58</f>
        <v>30.56405529953917</v>
      </c>
      <c r="E27" s="35">
        <f>'Historical FS'!E5/'Historical FS'!E58</f>
        <v>27.133587786259543</v>
      </c>
      <c r="F27" s="35">
        <f>'Historical FS'!F5/'Historical FS'!F58</f>
        <v>21.646475770925111</v>
      </c>
      <c r="G27" s="35">
        <f>'Historical FS'!G5/'Historical FS'!G58</f>
        <v>34.624020887728463</v>
      </c>
      <c r="H27" s="35">
        <f>'Historical FS'!H5/'Historical FS'!H58</f>
        <v>26.750853242320819</v>
      </c>
      <c r="I27" s="35">
        <f>'Historical FS'!I5/'Historical FS'!I58</f>
        <v>23.455277280858677</v>
      </c>
      <c r="J27" s="35">
        <f>'Historical FS'!J5/'Historical FS'!J58</f>
        <v>19.67521922702176</v>
      </c>
      <c r="K27" s="35">
        <f>'Historical FS'!K5/'Historical FS'!K58</f>
        <v>20.652652652652652</v>
      </c>
      <c r="L27" s="35">
        <f>'Historical FS'!L5/'Historical FS'!L58</f>
        <v>16.52814873003404</v>
      </c>
      <c r="M27" s="29"/>
      <c r="N27" s="35">
        <f t="shared" si="2"/>
        <v>24.649389847227695</v>
      </c>
      <c r="O27" s="35">
        <f t="shared" si="3"/>
        <v>24.459442437897692</v>
      </c>
    </row>
    <row r="28" spans="2:15" x14ac:dyDescent="0.35">
      <c r="B28" t="s">
        <v>139</v>
      </c>
      <c r="C28" s="27">
        <f>IFERROR('Historical FS'!C5/'Historical FS'!C49,0)</f>
        <v>4.0017406440382945</v>
      </c>
      <c r="D28" s="27">
        <f>IFERROR('Historical FS'!D5/'Historical FS'!D49,0)</f>
        <v>3.818307426597582</v>
      </c>
      <c r="E28" s="27">
        <f>IFERROR('Historical FS'!E5/'Historical FS'!E49,0)</f>
        <v>3.3593233153766184</v>
      </c>
      <c r="F28" s="27">
        <f>IFERROR('Historical FS'!F5/'Historical FS'!F49,0)</f>
        <v>3.6865797617931162</v>
      </c>
      <c r="G28" s="27">
        <f>IFERROR('Historical FS'!G5/'Historical FS'!G49,0)</f>
        <v>3.3363804092586382</v>
      </c>
      <c r="H28" s="27">
        <f>IFERROR('Historical FS'!H5/'Historical FS'!H49,0)</f>
        <v>2.2324124181144973</v>
      </c>
      <c r="I28" s="27">
        <f>IFERROR('Historical FS'!I5/'Historical FS'!I49,0)</f>
        <v>2.5706303303597688</v>
      </c>
      <c r="J28" s="27">
        <f>IFERROR('Historical FS'!J5/'Historical FS'!J49,0)</f>
        <v>2.8106151990349817</v>
      </c>
      <c r="K28" s="27">
        <f>IFERROR('Historical FS'!K5/'Historical FS'!K49,0)</f>
        <v>2.4002792104548805</v>
      </c>
      <c r="L28" s="27">
        <f>IFERROR('Historical FS'!L5/'Historical FS'!L49,0)</f>
        <v>2.1907125255960853</v>
      </c>
      <c r="N28" s="27">
        <f t="shared" si="2"/>
        <v>3.040698124062446</v>
      </c>
      <c r="O28" s="27">
        <f t="shared" si="3"/>
        <v>3.0734978041468102</v>
      </c>
    </row>
    <row r="29" spans="2:15" x14ac:dyDescent="0.35">
      <c r="B29" t="s">
        <v>140</v>
      </c>
      <c r="C29" s="27">
        <f>IFERROR('Historical FS'!C5/'Historical FS'!C59,0)</f>
        <v>11.807043286867204</v>
      </c>
      <c r="D29" s="27">
        <f>IFERROR('Historical FS'!D5/'Historical FS'!D59,0)</f>
        <v>13.050767414403778</v>
      </c>
      <c r="E29" s="27">
        <f>IFERROR('Historical FS'!E5/'Historical FS'!E59,0)</f>
        <v>14.144448865897333</v>
      </c>
      <c r="F29" s="27">
        <f>IFERROR('Historical FS'!F5/'Historical FS'!F59,0)</f>
        <v>15.271950271950272</v>
      </c>
      <c r="G29" s="27">
        <f>IFERROR('Historical FS'!G5/'Historical FS'!G59,0)</f>
        <v>14.377665341525118</v>
      </c>
      <c r="H29" s="27">
        <f>IFERROR('Historical FS'!H5/'Historical FS'!H59,0)</f>
        <v>13.139983235540655</v>
      </c>
      <c r="I29" s="27">
        <f>IFERROR('Historical FS'!I5/'Historical FS'!I59,0)</f>
        <v>12.80419921875</v>
      </c>
      <c r="J29" s="27">
        <f>IFERROR('Historical FS'!J5/'Historical FS'!J59,0)</f>
        <v>14.250764525993883</v>
      </c>
      <c r="K29" s="27">
        <f>IFERROR('Historical FS'!K5/'Historical FS'!K59,0)</f>
        <v>15.389358528095475</v>
      </c>
      <c r="L29" s="27">
        <f>IFERROR('Historical FS'!L5/'Historical FS'!L59,0)</f>
        <v>14.296942242355605</v>
      </c>
      <c r="N29" s="27">
        <f t="shared" si="2"/>
        <v>13.853312293137932</v>
      </c>
      <c r="O29" s="27">
        <f t="shared" si="3"/>
        <v>14.197606695945609</v>
      </c>
    </row>
    <row r="30" spans="2:15" x14ac:dyDescent="0.35">
      <c r="B30" t="s">
        <v>141</v>
      </c>
      <c r="C30" s="27">
        <f>IFERROR('Historical FS'!C5/'Historical FS'!C52,0)</f>
        <v>9.8790669122160839</v>
      </c>
      <c r="D30" s="27">
        <f>IFERROR('Historical FS'!D5/'Historical FS'!D52,0)</f>
        <v>7.5044127630685677</v>
      </c>
      <c r="E30" s="27">
        <f>IFERROR('Historical FS'!E5/'Historical FS'!E52,0)</f>
        <v>7.8500441696113077</v>
      </c>
      <c r="F30" s="27">
        <f>IFERROR('Historical FS'!F5/'Historical FS'!F52,0)</f>
        <v>8.3372216330858961</v>
      </c>
      <c r="G30" s="27">
        <f>IFERROR('Historical FS'!G5/'Historical FS'!G52,0)</f>
        <v>7.2609965322139081</v>
      </c>
      <c r="H30" s="27">
        <f>IFERROR('Historical FS'!H5/'Historical FS'!H52,0)</f>
        <v>0.91417685593763975</v>
      </c>
      <c r="I30" s="27">
        <f>IFERROR('Historical FS'!I5/'Historical FS'!I52,0)</f>
        <v>1.018903114254075</v>
      </c>
      <c r="J30" s="27">
        <f>IFERROR('Historical FS'!J5/'Historical FS'!J52,0)</f>
        <v>1.1500056949770303</v>
      </c>
      <c r="K30" s="27">
        <f>IFERROR('Historical FS'!K5/'Historical FS'!K52,0)</f>
        <v>1.1516820482286394</v>
      </c>
      <c r="L30" s="27">
        <f>IFERROR('Historical FS'!L5/'Historical FS'!L52,0)</f>
        <v>1.1617005613324745</v>
      </c>
      <c r="N30" s="27">
        <f t="shared" si="2"/>
        <v>4.6228210284925622</v>
      </c>
      <c r="O30" s="27">
        <f t="shared" si="3"/>
        <v>4.2113485467731913</v>
      </c>
    </row>
    <row r="31" spans="2:15" x14ac:dyDescent="0.35">
      <c r="B31" s="32" t="s">
        <v>142</v>
      </c>
      <c r="C31" s="36">
        <f>IFERROR('Historical FS'!C5/SUM('Historical FS'!C46:C47),0)</f>
        <v>4.8966986155484555</v>
      </c>
      <c r="D31" s="36">
        <f>IFERROR('Historical FS'!D5/SUM('Historical FS'!D46:D47),0)</f>
        <v>4.9172597864768681</v>
      </c>
      <c r="E31" s="36">
        <f>IFERROR('Historical FS'!E5/SUM('Historical FS'!E46:E47),0)</f>
        <v>4.8818843565444308</v>
      </c>
      <c r="F31" s="36">
        <f>IFERROR('Historical FS'!F5/SUM('Historical FS'!F46:F47),0)</f>
        <v>4.9968221685521801</v>
      </c>
      <c r="G31" s="36">
        <f>IFERROR('Historical FS'!G5/SUM('Historical FS'!G46:G47),0)</f>
        <v>4.8344877870944218</v>
      </c>
      <c r="H31" s="36">
        <f>IFERROR('Historical FS'!H5/SUM('Historical FS'!H46:H47),0)</f>
        <v>0.98644963711876499</v>
      </c>
      <c r="I31" s="36">
        <f>IFERROR('Historical FS'!I5/SUM('Historical FS'!I46:I47),0)</f>
        <v>1.0689957399971464</v>
      </c>
      <c r="J31" s="36">
        <f>IFERROR('Historical FS'!J5/SUM('Historical FS'!J46:J47),0)</f>
        <v>1.2042779898218829</v>
      </c>
      <c r="K31" s="36">
        <f>IFERROR('Historical FS'!K5/SUM('Historical FS'!K46:K47),0)</f>
        <v>1.2084813932601819</v>
      </c>
      <c r="L31" s="36">
        <f>IFERROR('Historical FS'!L5/SUM('Historical FS'!L46:L47),0)</f>
        <v>1.2777013076393668</v>
      </c>
      <c r="M31" s="32"/>
      <c r="N31" s="36">
        <f t="shared" si="2"/>
        <v>3.0273058782053694</v>
      </c>
      <c r="O31" s="36">
        <f t="shared" si="3"/>
        <v>3.0560945473668943</v>
      </c>
    </row>
    <row r="32" spans="2:15" x14ac:dyDescent="0.35">
      <c r="C32" s="27"/>
      <c r="D32" s="27"/>
      <c r="E32" s="27"/>
      <c r="F32" s="27"/>
      <c r="G32" s="27"/>
      <c r="H32" s="27"/>
      <c r="I32" s="27"/>
      <c r="J32" s="27"/>
      <c r="K32" s="27"/>
      <c r="L32" s="27"/>
      <c r="N32" s="44"/>
      <c r="O32" s="44"/>
    </row>
    <row r="33" spans="2:15" x14ac:dyDescent="0.35">
      <c r="B33" s="28" t="s">
        <v>151</v>
      </c>
      <c r="N33" s="44"/>
      <c r="O33" s="44"/>
    </row>
    <row r="34" spans="2:15" x14ac:dyDescent="0.35">
      <c r="B34" s="29" t="s">
        <v>143</v>
      </c>
      <c r="C34" s="37">
        <f>IFERROR(365/C27,0)</f>
        <v>14.334182563847637</v>
      </c>
      <c r="D34" s="37">
        <f t="shared" ref="D34:L34" si="6">IFERROR(365/D27,0)</f>
        <v>11.942132561365419</v>
      </c>
      <c r="E34" s="37">
        <f t="shared" si="6"/>
        <v>13.4519623013082</v>
      </c>
      <c r="F34" s="37">
        <f t="shared" si="6"/>
        <v>16.861867209361485</v>
      </c>
      <c r="G34" s="37">
        <f t="shared" si="6"/>
        <v>10.541814342809742</v>
      </c>
      <c r="H34" s="37">
        <f t="shared" si="6"/>
        <v>13.644424598111764</v>
      </c>
      <c r="I34" s="37">
        <f t="shared" si="6"/>
        <v>15.561529954619989</v>
      </c>
      <c r="J34" s="37">
        <f t="shared" si="6"/>
        <v>18.551254539451964</v>
      </c>
      <c r="K34" s="37">
        <f>IFERROR(365/K27,0)</f>
        <v>17.673274525009695</v>
      </c>
      <c r="L34" s="37">
        <f t="shared" si="6"/>
        <v>22.08353796676225</v>
      </c>
      <c r="M34" s="29"/>
      <c r="N34" s="43">
        <f>IFERROR(AVERAGE(C34:L34),0)</f>
        <v>15.464598056264816</v>
      </c>
      <c r="O34" s="43">
        <f t="shared" si="3"/>
        <v>14.947856259233813</v>
      </c>
    </row>
    <row r="35" spans="2:15" x14ac:dyDescent="0.35">
      <c r="B35" t="s">
        <v>144</v>
      </c>
      <c r="C35" s="38">
        <f>IFERROR(365/C28,0)</f>
        <v>91.210308829926049</v>
      </c>
      <c r="D35" s="38">
        <f t="shared" ref="D35:L35" si="7">IFERROR(365/D28,0)</f>
        <v>95.592093359869736</v>
      </c>
      <c r="E35" s="38">
        <f t="shared" si="7"/>
        <v>108.65283443522296</v>
      </c>
      <c r="F35" s="38">
        <f t="shared" si="7"/>
        <v>99.007758839989833</v>
      </c>
      <c r="G35" s="38">
        <f t="shared" si="7"/>
        <v>109.39999497272704</v>
      </c>
      <c r="H35" s="38">
        <f t="shared" si="7"/>
        <v>163.50025516713447</v>
      </c>
      <c r="I35" s="38">
        <f t="shared" si="7"/>
        <v>141.98852152690384</v>
      </c>
      <c r="J35" s="38">
        <f t="shared" si="7"/>
        <v>129.86480686695279</v>
      </c>
      <c r="K35" s="38">
        <f t="shared" si="7"/>
        <v>152.06564236784283</v>
      </c>
      <c r="L35" s="38">
        <f t="shared" si="7"/>
        <v>166.61245861123871</v>
      </c>
      <c r="N35" s="44">
        <f t="shared" si="2"/>
        <v>125.78946749778083</v>
      </c>
      <c r="O35" s="44">
        <f t="shared" si="3"/>
        <v>119.63240091983991</v>
      </c>
    </row>
    <row r="36" spans="2:15" x14ac:dyDescent="0.35">
      <c r="B36" t="s">
        <v>145</v>
      </c>
      <c r="C36" s="38">
        <f>IFERROR(365/C29,0)</f>
        <v>30.913751320449887</v>
      </c>
      <c r="D36" s="38">
        <f t="shared" ref="D36:L36" si="8">IFERROR(365/D29,0)</f>
        <v>27.967703998552562</v>
      </c>
      <c r="E36" s="38">
        <f t="shared" si="8"/>
        <v>25.805176536784359</v>
      </c>
      <c r="F36" s="38">
        <f t="shared" si="8"/>
        <v>23.90002543881964</v>
      </c>
      <c r="G36" s="38">
        <f t="shared" si="8"/>
        <v>25.386597290299875</v>
      </c>
      <c r="H36" s="38">
        <f t="shared" si="8"/>
        <v>27.777813217657563</v>
      </c>
      <c r="I36" s="38">
        <f t="shared" si="8"/>
        <v>28.506273119017656</v>
      </c>
      <c r="J36" s="38">
        <f t="shared" si="8"/>
        <v>25.612660944206009</v>
      </c>
      <c r="K36" s="38">
        <f t="shared" si="8"/>
        <v>23.717687734263926</v>
      </c>
      <c r="L36" s="38">
        <f t="shared" si="8"/>
        <v>25.529934570111376</v>
      </c>
      <c r="N36" s="44">
        <f t="shared" si="2"/>
        <v>26.511762417016286</v>
      </c>
      <c r="O36" s="44">
        <f t="shared" si="3"/>
        <v>25.708918740495186</v>
      </c>
    </row>
    <row r="37" spans="2:15" x14ac:dyDescent="0.35">
      <c r="B37" s="32" t="s">
        <v>146</v>
      </c>
      <c r="C37" s="39">
        <f>SUM(C34,C36)-C35</f>
        <v>-45.962374945628525</v>
      </c>
      <c r="D37" s="39">
        <f t="shared" ref="D37:L37" si="9">SUM(D34,D36)-D35</f>
        <v>-55.682256799951759</v>
      </c>
      <c r="E37" s="39">
        <f t="shared" si="9"/>
        <v>-69.395695597130398</v>
      </c>
      <c r="F37" s="39">
        <f t="shared" si="9"/>
        <v>-58.245866191808709</v>
      </c>
      <c r="G37" s="39">
        <f t="shared" si="9"/>
        <v>-73.471583339617425</v>
      </c>
      <c r="H37" s="39">
        <f t="shared" si="9"/>
        <v>-122.07801735136513</v>
      </c>
      <c r="I37" s="39">
        <f t="shared" si="9"/>
        <v>-97.92071845326619</v>
      </c>
      <c r="J37" s="39">
        <f t="shared" si="9"/>
        <v>-85.700891383294817</v>
      </c>
      <c r="K37" s="39">
        <f t="shared" si="9"/>
        <v>-110.67468010856921</v>
      </c>
      <c r="L37" s="39">
        <f t="shared" si="9"/>
        <v>-118.99898607436508</v>
      </c>
      <c r="M37" s="32"/>
      <c r="N37" s="45">
        <f t="shared" si="2"/>
        <v>-83.813107024499715</v>
      </c>
      <c r="O37" s="45">
        <f t="shared" si="3"/>
        <v>-79.586237361456114</v>
      </c>
    </row>
    <row r="38" spans="2:15" x14ac:dyDescent="0.35">
      <c r="N38" s="44"/>
      <c r="O38" s="44"/>
    </row>
    <row r="39" spans="2:15" x14ac:dyDescent="0.35">
      <c r="B39" s="29" t="s">
        <v>147</v>
      </c>
      <c r="C39" s="43">
        <f>IFERROR('Historical FS'!C80/'Historical FS'!C5,0)</f>
        <v>0.12707388305474429</v>
      </c>
      <c r="D39" s="43">
        <f>IFERROR('Historical FS'!D80/'Historical FS'!D5,0)</f>
        <v>0.17342138592364756</v>
      </c>
      <c r="E39" s="43">
        <f>IFERROR('Historical FS'!E80/'Historical FS'!E5,0)</f>
        <v>0.19397946265297511</v>
      </c>
      <c r="F39" s="43">
        <f>IFERROR('Historical FS'!F80/'Historical FS'!F5,0)</f>
        <v>0.1388450775883999</v>
      </c>
      <c r="G39" s="43">
        <f>IFERROR('Historical FS'!G80/'Historical FS'!G5,0)</f>
        <v>0.20194555463388886</v>
      </c>
      <c r="H39" s="43">
        <f>IFERROR('Historical FS'!H80/'Historical FS'!H5,0)</f>
        <v>0.19269371438292082</v>
      </c>
      <c r="I39" s="43">
        <f>IFERROR('Historical FS'!I80/'Historical FS'!I5,0)</f>
        <v>0.15345307554436946</v>
      </c>
      <c r="J39" s="43">
        <f>IFERROR('Historical FS'!J80/'Historical FS'!J5,0)</f>
        <v>0.14907560250907889</v>
      </c>
      <c r="K39" s="43">
        <f>IFERROR('Historical FS'!K80/'Historical FS'!K5,0)</f>
        <v>0.27113222179139201</v>
      </c>
      <c r="L39" s="43">
        <f>IFERROR('Historical FS'!L80/'Historical FS'!L5,0)</f>
        <v>0.17582104212544161</v>
      </c>
      <c r="M39" s="29"/>
      <c r="N39" s="43">
        <f t="shared" si="2"/>
        <v>0.17774410202068586</v>
      </c>
      <c r="O39" s="43">
        <f t="shared" si="3"/>
        <v>0.17462121402454459</v>
      </c>
    </row>
    <row r="40" spans="2:15" x14ac:dyDescent="0.35">
      <c r="B40" t="s">
        <v>148</v>
      </c>
      <c r="C40" s="55">
        <f>IFERROR('Historical FS'!C80/'Historical FS'!C63,0)</f>
        <v>0.27648211992158456</v>
      </c>
      <c r="D40" s="55">
        <f>IFERROR('Historical FS'!D80/'Historical FS'!D63,0)</f>
        <v>0.36616579651088754</v>
      </c>
      <c r="E40" s="55">
        <f>IFERROR('Historical FS'!E80/'Historical FS'!E63,0)</f>
        <v>0.38601500391893406</v>
      </c>
      <c r="F40" s="55">
        <f>IFERROR('Historical FS'!F80/'Historical FS'!F63,0)</f>
        <v>0.29298405711525044</v>
      </c>
      <c r="G40" s="55">
        <f>IFERROR('Historical FS'!G80/'Historical FS'!G63,0)</f>
        <v>0.39865032501364561</v>
      </c>
      <c r="H40" s="55">
        <f>IFERROR('Historical FS'!H80/'Historical FS'!H63,0)</f>
        <v>0.13183008437590923</v>
      </c>
      <c r="I40" s="55">
        <f>IFERROR('Historical FS'!I80/'Historical FS'!I63,0)</f>
        <v>0.1141463137888974</v>
      </c>
      <c r="J40" s="55">
        <f>IFERROR('Historical FS'!J80/'Historical FS'!J63,0)</f>
        <v>0.12358197517686824</v>
      </c>
      <c r="K40" s="55">
        <f>IFERROR('Historical FS'!K80/'Historical FS'!K63,0)</f>
        <v>0.21381340060390627</v>
      </c>
      <c r="L40" s="55">
        <f>IFERROR('Historical FS'!L80/'Historical FS'!L63,0)</f>
        <v>0.13896297409313449</v>
      </c>
      <c r="N40" s="44">
        <f t="shared" si="2"/>
        <v>0.24426320505190174</v>
      </c>
      <c r="O40" s="44">
        <f t="shared" si="3"/>
        <v>0.24514776026274543</v>
      </c>
    </row>
    <row r="41" spans="2:15" x14ac:dyDescent="0.35">
      <c r="B41" s="32" t="s">
        <v>149</v>
      </c>
      <c r="C41" s="45">
        <f>IFERROR('Historical FS'!C80/'Historical FS'!C48,0)</f>
        <v>23.10734463276836</v>
      </c>
      <c r="D41" s="45">
        <f>IFERROR('Historical FS'!D80/'Historical FS'!D48,0)</f>
        <v>20.76173285198556</v>
      </c>
      <c r="E41" s="45">
        <f>IFERROR('Historical FS'!E80/'Historical FS'!E48,0)</f>
        <v>0</v>
      </c>
      <c r="F41" s="45">
        <f>IFERROR('Historical FS'!F80/'Historical FS'!F48,0)</f>
        <v>55.131313131313128</v>
      </c>
      <c r="G41" s="45">
        <f>IFERROR('Historical FS'!G80/'Historical FS'!G48,0)</f>
        <v>0</v>
      </c>
      <c r="H41" s="45">
        <f>IFERROR('Historical FS'!H80/'Historical FS'!H48,0)</f>
        <v>0</v>
      </c>
      <c r="I41" s="45">
        <f>IFERROR('Historical FS'!I80/'Historical FS'!I48,0)</f>
        <v>7.7162032598274211</v>
      </c>
      <c r="J41" s="45">
        <f>IFERROR('Historical FS'!J80/'Historical FS'!J48,0)</f>
        <v>7.4085315832649714</v>
      </c>
      <c r="K41" s="45">
        <f>IFERROR('Historical FS'!K80/'Historical FS'!K48,0)</f>
        <v>11.308625336927223</v>
      </c>
      <c r="L41" s="45">
        <f>IFERROR('Historical FS'!L80/'Historical FS'!L48,0)</f>
        <v>6.7342233009708741</v>
      </c>
      <c r="M41" s="32"/>
      <c r="N41" s="45">
        <f t="shared" si="2"/>
        <v>13.216797409705753</v>
      </c>
      <c r="O41" s="45">
        <f t="shared" si="3"/>
        <v>7.5623674215461962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DC79CF9-C4F0-4339-AD26-1C86F7DC4E7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xr2:uid="{3652D82B-8F8D-459E-99DA-9240C970D7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A192-73DC-40C7-BC51-0EF6F9B7C7DD}">
  <dimension ref="B3:O19"/>
  <sheetViews>
    <sheetView showGridLines="0" zoomScale="87" workbookViewId="0">
      <selection activeCell="I22" sqref="I22"/>
    </sheetView>
  </sheetViews>
  <sheetFormatPr defaultRowHeight="14.5" x14ac:dyDescent="0.35"/>
  <cols>
    <col min="1" max="1" width="1.81640625" customWidth="1"/>
    <col min="2" max="2" width="10.90625" bestFit="1" customWidth="1"/>
    <col min="3" max="3" width="8.7265625" customWidth="1"/>
    <col min="4" max="4" width="9.81640625" bestFit="1" customWidth="1"/>
    <col min="5" max="5" width="11.7265625" bestFit="1" customWidth="1"/>
    <col min="7" max="7" width="11" bestFit="1" customWidth="1"/>
    <col min="9" max="9" width="10.08984375" bestFit="1" customWidth="1"/>
    <col min="10" max="10" width="13.81640625" bestFit="1" customWidth="1"/>
    <col min="12" max="12" width="11" bestFit="1" customWidth="1"/>
    <col min="15" max="15" width="11.81640625" bestFit="1" customWidth="1"/>
  </cols>
  <sheetData>
    <row r="3" spans="2:15" x14ac:dyDescent="0.35">
      <c r="B3" s="173" t="s">
        <v>158</v>
      </c>
      <c r="C3" s="173"/>
      <c r="D3" s="173"/>
      <c r="E3" s="173"/>
      <c r="G3" s="173" t="s">
        <v>159</v>
      </c>
      <c r="H3" s="173"/>
      <c r="I3" s="173"/>
      <c r="J3" s="173"/>
      <c r="L3" s="173" t="s">
        <v>160</v>
      </c>
      <c r="M3" s="173"/>
      <c r="N3" s="173"/>
      <c r="O3" s="173"/>
    </row>
    <row r="4" spans="2:15" x14ac:dyDescent="0.35">
      <c r="B4" s="41" t="s">
        <v>155</v>
      </c>
      <c r="C4" s="48" t="s">
        <v>156</v>
      </c>
      <c r="D4" s="48" t="s">
        <v>1</v>
      </c>
      <c r="E4" s="48" t="s">
        <v>157</v>
      </c>
      <c r="G4" s="41" t="s">
        <v>155</v>
      </c>
      <c r="H4" s="48" t="s">
        <v>156</v>
      </c>
      <c r="I4" s="48" t="s">
        <v>66</v>
      </c>
      <c r="J4" s="48" t="s">
        <v>122</v>
      </c>
      <c r="L4" s="41" t="s">
        <v>155</v>
      </c>
      <c r="M4" s="48" t="s">
        <v>156</v>
      </c>
      <c r="N4" s="48" t="s">
        <v>161</v>
      </c>
      <c r="O4" s="48" t="s">
        <v>162</v>
      </c>
    </row>
    <row r="5" spans="2:15" x14ac:dyDescent="0.35">
      <c r="B5" s="46">
        <v>1</v>
      </c>
      <c r="C5" s="49">
        <v>2016</v>
      </c>
      <c r="D5" s="47">
        <v>32186</v>
      </c>
      <c r="G5" s="46">
        <v>1</v>
      </c>
      <c r="H5" s="49">
        <v>2016</v>
      </c>
      <c r="I5" s="87">
        <f>'Data Sheet'!B33</f>
        <v>6396</v>
      </c>
      <c r="L5" s="46">
        <v>1</v>
      </c>
      <c r="M5" s="49">
        <v>2016</v>
      </c>
      <c r="N5" s="47">
        <f t="array" ref="N5:N14">TRANSPOSE('Historical FS'!C37:L37)</f>
        <v>16.937011876704101</v>
      </c>
    </row>
    <row r="6" spans="2:15" x14ac:dyDescent="0.35">
      <c r="B6" s="46">
        <f>B5+1</f>
        <v>2</v>
      </c>
      <c r="C6" s="49">
        <f>C5+1</f>
        <v>2017</v>
      </c>
      <c r="D6" s="47">
        <v>33162</v>
      </c>
      <c r="E6" s="25">
        <f>D6/D5-1</f>
        <v>3.03237432424035E-2</v>
      </c>
      <c r="G6" s="46">
        <f>G5+1</f>
        <v>2</v>
      </c>
      <c r="H6" s="49">
        <f>H5+1</f>
        <v>2017</v>
      </c>
      <c r="I6" s="87">
        <f>'Data Sheet'!C33</f>
        <v>6920</v>
      </c>
      <c r="J6" s="25">
        <f>I6/I5-1</f>
        <v>8.1926203877423331E-2</v>
      </c>
      <c r="L6" s="46">
        <f>L5+1</f>
        <v>2</v>
      </c>
      <c r="M6" s="49">
        <f>M5+1</f>
        <v>2017</v>
      </c>
      <c r="N6" s="47">
        <v>17.945756133622879</v>
      </c>
      <c r="O6" s="25">
        <f>N6/N5-1</f>
        <v>5.9558572920778818E-2</v>
      </c>
    </row>
    <row r="7" spans="2:15" x14ac:dyDescent="0.35">
      <c r="B7" s="46">
        <f t="shared" ref="B7:B19" si="0">B6+1</f>
        <v>3</v>
      </c>
      <c r="C7" s="49">
        <f t="shared" ref="C7:C14" si="1">C6+1</f>
        <v>2018</v>
      </c>
      <c r="D7" s="47">
        <v>35545</v>
      </c>
      <c r="E7" s="25">
        <f t="shared" ref="E7:E19" si="2">D7/D6-1</f>
        <v>7.1859357095470644E-2</v>
      </c>
      <c r="G7" s="46">
        <f t="shared" ref="G7:G19" si="3">G6+1</f>
        <v>3</v>
      </c>
      <c r="H7" s="49">
        <f t="shared" ref="H7:H14" si="4">H6+1</f>
        <v>2018</v>
      </c>
      <c r="I7" s="87">
        <f>'Data Sheet'!D33</f>
        <v>7839</v>
      </c>
      <c r="J7" s="25">
        <f t="shared" ref="J7:J19" si="5">I7/I6-1</f>
        <v>0.13280346820809252</v>
      </c>
      <c r="L7" s="46">
        <f t="shared" ref="L7:L19" si="6">L6+1</f>
        <v>3</v>
      </c>
      <c r="M7" s="49">
        <f t="shared" ref="M7:M14" si="7">M6+1</f>
        <v>2018</v>
      </c>
      <c r="N7" s="47">
        <v>22.51790251790252</v>
      </c>
      <c r="O7" s="25">
        <f t="shared" ref="O7:O19" si="8">N7/N6-1</f>
        <v>0.25477591193348159</v>
      </c>
    </row>
    <row r="8" spans="2:15" x14ac:dyDescent="0.35">
      <c r="B8" s="46">
        <f t="shared" si="0"/>
        <v>4</v>
      </c>
      <c r="C8" s="49">
        <f t="shared" si="1"/>
        <v>2019</v>
      </c>
      <c r="D8" s="47">
        <v>39310</v>
      </c>
      <c r="E8" s="25">
        <f t="shared" si="2"/>
        <v>0.1059220706147137</v>
      </c>
      <c r="G8" s="46">
        <f t="shared" si="3"/>
        <v>4</v>
      </c>
      <c r="H8" s="49">
        <f t="shared" si="4"/>
        <v>2019</v>
      </c>
      <c r="I8" s="87">
        <f>'Data Sheet'!E33</f>
        <v>9196</v>
      </c>
      <c r="J8" s="25">
        <f t="shared" si="5"/>
        <v>0.17310881489985963</v>
      </c>
      <c r="L8" s="46">
        <f t="shared" si="6"/>
        <v>4</v>
      </c>
      <c r="M8" s="49">
        <f t="shared" si="7"/>
        <v>2019</v>
      </c>
      <c r="N8" s="47">
        <v>26.507137247655564</v>
      </c>
      <c r="O8" s="25">
        <f t="shared" si="8"/>
        <v>0.17715836217789205</v>
      </c>
    </row>
    <row r="9" spans="2:15" x14ac:dyDescent="0.35">
      <c r="B9" s="46">
        <f t="shared" si="0"/>
        <v>5</v>
      </c>
      <c r="C9" s="49">
        <f t="shared" si="1"/>
        <v>2020</v>
      </c>
      <c r="D9" s="47">
        <v>39783</v>
      </c>
      <c r="E9" s="25">
        <f t="shared" si="2"/>
        <v>1.2032561689137689E-2</v>
      </c>
      <c r="G9" s="46">
        <f t="shared" si="3"/>
        <v>5</v>
      </c>
      <c r="H9" s="49">
        <f t="shared" si="4"/>
        <v>2020</v>
      </c>
      <c r="I9" s="87">
        <f>'Data Sheet'!F33</f>
        <v>10277</v>
      </c>
      <c r="J9" s="25">
        <f t="shared" si="5"/>
        <v>0.11755110917790335</v>
      </c>
      <c r="L9" s="46">
        <f t="shared" si="6"/>
        <v>5</v>
      </c>
      <c r="M9" s="49">
        <f t="shared" si="7"/>
        <v>2020</v>
      </c>
      <c r="N9" s="47">
        <v>29.249815225424982</v>
      </c>
      <c r="O9" s="25">
        <f t="shared" si="8"/>
        <v>0.10346941475213423</v>
      </c>
    </row>
    <row r="10" spans="2:15" x14ac:dyDescent="0.35">
      <c r="B10" s="46">
        <f t="shared" si="0"/>
        <v>6</v>
      </c>
      <c r="C10" s="49">
        <f t="shared" si="1"/>
        <v>2021</v>
      </c>
      <c r="D10" s="47">
        <v>47028</v>
      </c>
      <c r="E10" s="25">
        <f t="shared" si="2"/>
        <v>0.18211296282331646</v>
      </c>
      <c r="G10" s="46">
        <f t="shared" si="3"/>
        <v>6</v>
      </c>
      <c r="H10" s="49">
        <f t="shared" si="4"/>
        <v>2021</v>
      </c>
      <c r="I10" s="87">
        <f>'Data Sheet'!G33</f>
        <v>11792</v>
      </c>
      <c r="J10" s="25">
        <f t="shared" si="5"/>
        <v>0.14741656125328406</v>
      </c>
      <c r="L10" s="46">
        <f t="shared" si="6"/>
        <v>6</v>
      </c>
      <c r="M10" s="49">
        <f t="shared" si="7"/>
        <v>2021</v>
      </c>
      <c r="N10" s="47">
        <v>33.320565202587673</v>
      </c>
      <c r="O10" s="25">
        <f t="shared" si="8"/>
        <v>0.1391718185496178</v>
      </c>
    </row>
    <row r="11" spans="2:15" x14ac:dyDescent="0.35">
      <c r="B11" s="46">
        <f t="shared" si="0"/>
        <v>7</v>
      </c>
      <c r="C11" s="49">
        <f t="shared" si="1"/>
        <v>2022</v>
      </c>
      <c r="D11" s="47">
        <v>52446</v>
      </c>
      <c r="E11" s="25">
        <f t="shared" si="2"/>
        <v>0.11520796121459553</v>
      </c>
      <c r="G11" s="46">
        <f t="shared" si="3"/>
        <v>7</v>
      </c>
      <c r="H11" s="49">
        <f t="shared" si="4"/>
        <v>2022</v>
      </c>
      <c r="I11" s="87">
        <f>'Data Sheet'!H33</f>
        <v>13063</v>
      </c>
      <c r="J11" s="25">
        <f t="shared" si="5"/>
        <v>0.10778493894165542</v>
      </c>
      <c r="L11" s="46">
        <f t="shared" si="6"/>
        <v>7</v>
      </c>
      <c r="M11" s="49">
        <f t="shared" si="7"/>
        <v>2022</v>
      </c>
      <c r="N11" s="47">
        <v>36.912665985699689</v>
      </c>
      <c r="O11" s="25">
        <f t="shared" si="8"/>
        <v>0.10780431728190054</v>
      </c>
    </row>
    <row r="12" spans="2:15" x14ac:dyDescent="0.35">
      <c r="B12" s="46">
        <f t="shared" si="0"/>
        <v>8</v>
      </c>
      <c r="C12" s="49">
        <f t="shared" si="1"/>
        <v>2023</v>
      </c>
      <c r="D12" s="47">
        <v>60580</v>
      </c>
      <c r="E12" s="25">
        <f t="shared" si="2"/>
        <v>0.15509285741524614</v>
      </c>
      <c r="G12" s="46">
        <f t="shared" si="3"/>
        <v>8</v>
      </c>
      <c r="H12" s="49">
        <f t="shared" si="4"/>
        <v>2023</v>
      </c>
      <c r="I12" s="87">
        <f>'Data Sheet'!I33</f>
        <v>14572</v>
      </c>
      <c r="J12" s="25">
        <f t="shared" si="5"/>
        <v>0.11551710939294191</v>
      </c>
      <c r="L12" s="46">
        <f t="shared" si="6"/>
        <v>8</v>
      </c>
      <c r="M12" s="49">
        <f t="shared" si="7"/>
        <v>2023</v>
      </c>
      <c r="N12" s="47">
        <v>41.262342526387471</v>
      </c>
      <c r="O12" s="25">
        <f t="shared" si="8"/>
        <v>0.11783696529459253</v>
      </c>
    </row>
    <row r="13" spans="2:15" x14ac:dyDescent="0.35">
      <c r="B13" s="46">
        <f t="shared" si="0"/>
        <v>9</v>
      </c>
      <c r="C13" s="49">
        <f t="shared" si="1"/>
        <v>2024</v>
      </c>
      <c r="D13" s="47">
        <v>61896</v>
      </c>
      <c r="E13" s="25">
        <f t="shared" si="2"/>
        <v>2.1723341036645749E-2</v>
      </c>
      <c r="G13" s="46">
        <f t="shared" si="3"/>
        <v>9</v>
      </c>
      <c r="H13" s="49">
        <f t="shared" si="4"/>
        <v>2024</v>
      </c>
      <c r="I13" s="87">
        <f>'Data Sheet'!J33</f>
        <v>15471</v>
      </c>
      <c r="J13" s="25">
        <f t="shared" si="5"/>
        <v>6.1693659072193263E-2</v>
      </c>
      <c r="L13" s="46">
        <f t="shared" si="6"/>
        <v>9</v>
      </c>
      <c r="M13" s="49">
        <f t="shared" si="7"/>
        <v>2024</v>
      </c>
      <c r="N13" s="47">
        <v>40.283452502553622</v>
      </c>
      <c r="O13" s="25">
        <f t="shared" si="8"/>
        <v>-2.3723568849922771E-2</v>
      </c>
    </row>
    <row r="14" spans="2:15" x14ac:dyDescent="0.35">
      <c r="B14" s="46">
        <f t="shared" si="0"/>
        <v>10</v>
      </c>
      <c r="C14" s="49">
        <f t="shared" si="1"/>
        <v>2025</v>
      </c>
      <c r="D14" s="47">
        <v>63121</v>
      </c>
      <c r="E14" s="25">
        <f t="shared" si="2"/>
        <v>1.9791262763344974E-2</v>
      </c>
      <c r="G14" s="46">
        <f t="shared" si="3"/>
        <v>10</v>
      </c>
      <c r="H14" s="49">
        <f t="shared" si="4"/>
        <v>2025</v>
      </c>
      <c r="I14" s="87">
        <f>'Data Sheet'!K33</f>
        <v>16143</v>
      </c>
      <c r="J14" s="25">
        <f t="shared" si="5"/>
        <v>4.3436106263331498E-2</v>
      </c>
      <c r="L14" s="46">
        <f t="shared" si="6"/>
        <v>10</v>
      </c>
      <c r="M14" s="49">
        <f t="shared" si="7"/>
        <v>2025</v>
      </c>
      <c r="N14" s="47">
        <v>39.789751447054819</v>
      </c>
      <c r="O14" s="25">
        <f t="shared" si="8"/>
        <v>-1.2255678816692983E-2</v>
      </c>
    </row>
    <row r="15" spans="2:15" x14ac:dyDescent="0.35">
      <c r="B15" s="50">
        <f t="shared" si="0"/>
        <v>11</v>
      </c>
      <c r="C15" s="51">
        <v>2026</v>
      </c>
      <c r="D15" s="52">
        <f>FORECAST(B15,$D$5:$D$14,$B$5:$B$14)</f>
        <v>68218.399999999994</v>
      </c>
      <c r="E15" s="53">
        <f t="shared" si="2"/>
        <v>8.0756008301515969E-2</v>
      </c>
      <c r="G15" s="50">
        <f>G14+1</f>
        <v>11</v>
      </c>
      <c r="H15" s="51">
        <v>2026</v>
      </c>
      <c r="I15" s="155">
        <f>FORECAST(G15,$I$5:$I$14,$G$5:$G$14)</f>
        <v>17645.599999999999</v>
      </c>
      <c r="J15" s="53">
        <f t="shared" si="5"/>
        <v>9.3080592207148483E-2</v>
      </c>
      <c r="K15" s="147"/>
      <c r="L15" s="50">
        <f t="shared" si="6"/>
        <v>11</v>
      </c>
      <c r="M15" s="51">
        <v>2026</v>
      </c>
      <c r="N15" s="148">
        <f>FORECAST(L15,$N$5:$N$14,$L$5:$L$14)</f>
        <v>46.840908964872376</v>
      </c>
      <c r="O15" s="53">
        <f>N15/N14-1</f>
        <v>0.17721039366631874</v>
      </c>
    </row>
    <row r="16" spans="2:15" x14ac:dyDescent="0.35">
      <c r="B16" s="50">
        <f t="shared" si="0"/>
        <v>12</v>
      </c>
      <c r="C16" s="51">
        <f>C15+1</f>
        <v>2027</v>
      </c>
      <c r="D16" s="52">
        <f t="shared" ref="D16:D19" si="9">FORECAST(B16,$D$5:$D$14,$B$5:$B$14)</f>
        <v>72166.163636363635</v>
      </c>
      <c r="E16" s="53">
        <f t="shared" si="2"/>
        <v>5.7869484425955964E-2</v>
      </c>
      <c r="G16" s="50">
        <f t="shared" si="3"/>
        <v>12</v>
      </c>
      <c r="H16" s="51">
        <f>H15+1</f>
        <v>2027</v>
      </c>
      <c r="I16" s="155">
        <f t="shared" ref="I16:I19" si="10">FORECAST(G16,$I$5:$I$14,$G$5:$G$14)</f>
        <v>18823.545454545456</v>
      </c>
      <c r="J16" s="53">
        <f t="shared" si="5"/>
        <v>6.6755760900476968E-2</v>
      </c>
      <c r="K16" s="147"/>
      <c r="L16" s="50">
        <f t="shared" si="6"/>
        <v>12</v>
      </c>
      <c r="M16" s="51">
        <f>M15+1</f>
        <v>2027</v>
      </c>
      <c r="N16" s="148">
        <f>FORECAST(L16,$N$5:$N$14,$L$5:$L$14)</f>
        <v>49.816957855474747</v>
      </c>
      <c r="O16" s="53">
        <f t="shared" si="8"/>
        <v>6.3535250625349926E-2</v>
      </c>
    </row>
    <row r="17" spans="2:15" x14ac:dyDescent="0.35">
      <c r="B17" s="50">
        <f t="shared" si="0"/>
        <v>13</v>
      </c>
      <c r="C17" s="51">
        <f t="shared" ref="C17:C19" si="11">C16+1</f>
        <v>2028</v>
      </c>
      <c r="D17" s="52">
        <f t="shared" si="9"/>
        <v>76113.927272727276</v>
      </c>
      <c r="E17" s="53">
        <f t="shared" si="2"/>
        <v>5.4703803520108618E-2</v>
      </c>
      <c r="G17" s="50">
        <f t="shared" si="3"/>
        <v>13</v>
      </c>
      <c r="H17" s="51">
        <f t="shared" ref="H17:H19" si="12">H16+1</f>
        <v>2028</v>
      </c>
      <c r="I17" s="155">
        <f>FORECAST(G17,$I$5:$I$14,$G$5:$G$14)</f>
        <v>20001.490909090906</v>
      </c>
      <c r="J17" s="53">
        <f t="shared" si="5"/>
        <v>6.2578298938949617E-2</v>
      </c>
      <c r="K17" s="147"/>
      <c r="L17" s="50">
        <f t="shared" si="6"/>
        <v>13</v>
      </c>
      <c r="M17" s="51">
        <f t="shared" ref="M17:M19" si="13">M16+1</f>
        <v>2028</v>
      </c>
      <c r="N17" s="148">
        <f t="shared" ref="N17:N19" si="14">FORECAST(L17,$N$5:$N$14,$L$5:$L$14)</f>
        <v>52.793006746077118</v>
      </c>
      <c r="O17" s="53">
        <f t="shared" si="8"/>
        <v>5.9739675377935786E-2</v>
      </c>
    </row>
    <row r="18" spans="2:15" x14ac:dyDescent="0.35">
      <c r="B18" s="50">
        <f t="shared" si="0"/>
        <v>14</v>
      </c>
      <c r="C18" s="51">
        <f t="shared" si="11"/>
        <v>2029</v>
      </c>
      <c r="D18" s="52">
        <f t="shared" si="9"/>
        <v>80061.690909090903</v>
      </c>
      <c r="E18" s="53">
        <f t="shared" si="2"/>
        <v>5.1866508243862075E-2</v>
      </c>
      <c r="G18" s="50">
        <f t="shared" si="3"/>
        <v>14</v>
      </c>
      <c r="H18" s="51">
        <f t="shared" si="12"/>
        <v>2029</v>
      </c>
      <c r="I18" s="155">
        <f t="shared" si="10"/>
        <v>21179.436363636363</v>
      </c>
      <c r="J18" s="53">
        <f t="shared" si="5"/>
        <v>5.889288253057523E-2</v>
      </c>
      <c r="K18" s="147"/>
      <c r="L18" s="50">
        <f t="shared" si="6"/>
        <v>14</v>
      </c>
      <c r="M18" s="51">
        <f t="shared" si="13"/>
        <v>2029</v>
      </c>
      <c r="N18" s="148">
        <f t="shared" si="14"/>
        <v>55.769055636679497</v>
      </c>
      <c r="O18" s="53">
        <f t="shared" si="8"/>
        <v>5.6372028683960407E-2</v>
      </c>
    </row>
    <row r="19" spans="2:15" x14ac:dyDescent="0.35">
      <c r="B19" s="50">
        <f t="shared" si="0"/>
        <v>15</v>
      </c>
      <c r="C19" s="51">
        <f t="shared" si="11"/>
        <v>2030</v>
      </c>
      <c r="D19" s="52">
        <f t="shared" si="9"/>
        <v>84009.454545454544</v>
      </c>
      <c r="E19" s="53">
        <f t="shared" si="2"/>
        <v>4.930902147503069E-2</v>
      </c>
      <c r="G19" s="50">
        <f t="shared" si="3"/>
        <v>15</v>
      </c>
      <c r="H19" s="51">
        <f t="shared" si="12"/>
        <v>2030</v>
      </c>
      <c r="I19" s="155">
        <f t="shared" si="10"/>
        <v>22357.381818181821</v>
      </c>
      <c r="J19" s="53">
        <f t="shared" si="5"/>
        <v>5.5617412773453667E-2</v>
      </c>
      <c r="K19" s="147"/>
      <c r="L19" s="50">
        <f t="shared" si="6"/>
        <v>15</v>
      </c>
      <c r="M19" s="51">
        <f t="shared" si="13"/>
        <v>2030</v>
      </c>
      <c r="N19" s="148">
        <f t="shared" si="14"/>
        <v>58.745104527281867</v>
      </c>
      <c r="O19" s="53">
        <f t="shared" si="8"/>
        <v>5.3363802858533926E-2</v>
      </c>
    </row>
  </sheetData>
  <mergeCells count="3">
    <mergeCell ref="B3:E3"/>
    <mergeCell ref="G3:J3"/>
    <mergeCell ref="L3:O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3EB1-1D88-4F15-A101-C6CA27801F28}">
  <sheetPr>
    <tabColor rgb="FF002060"/>
  </sheetPr>
  <dimension ref="A1"/>
  <sheetViews>
    <sheetView workbookViewId="0">
      <selection activeCell="M12" sqref="M12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ADB1-CD38-42D1-A6D3-29F0E6BC7C11}">
  <dimension ref="B2:N73"/>
  <sheetViews>
    <sheetView showGridLines="0" topLeftCell="A13" workbookViewId="0">
      <selection activeCell="B65" sqref="B65"/>
    </sheetView>
  </sheetViews>
  <sheetFormatPr defaultRowHeight="14.5" x14ac:dyDescent="0.35"/>
  <cols>
    <col min="1" max="1" width="1.81640625" customWidth="1"/>
    <col min="2" max="2" width="28.90625" bestFit="1" customWidth="1"/>
    <col min="3" max="14" width="8.90625" bestFit="1" customWidth="1"/>
  </cols>
  <sheetData>
    <row r="2" spans="2:14" x14ac:dyDescent="0.35">
      <c r="B2" s="122" t="s">
        <v>174</v>
      </c>
      <c r="C2" s="128">
        <v>41699</v>
      </c>
      <c r="D2" s="128">
        <v>42064</v>
      </c>
      <c r="E2" s="128">
        <v>42430</v>
      </c>
      <c r="F2" s="128">
        <v>42795</v>
      </c>
      <c r="G2" s="128">
        <v>43160</v>
      </c>
      <c r="H2" s="128">
        <v>43525</v>
      </c>
      <c r="I2" s="128">
        <v>43891</v>
      </c>
      <c r="J2" s="128">
        <v>44256</v>
      </c>
      <c r="K2" s="128">
        <v>44621</v>
      </c>
      <c r="L2" s="128">
        <v>44986</v>
      </c>
      <c r="M2" s="128">
        <v>45352</v>
      </c>
      <c r="N2" s="128">
        <v>45717</v>
      </c>
    </row>
    <row r="3" spans="2:14" x14ac:dyDescent="0.35">
      <c r="B3" s="129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2:14" x14ac:dyDescent="0.35">
      <c r="B4" s="82" t="s">
        <v>175</v>
      </c>
      <c r="C4" s="127">
        <v>216</v>
      </c>
      <c r="D4" s="127">
        <v>216</v>
      </c>
      <c r="E4" s="127">
        <v>216</v>
      </c>
      <c r="F4" s="127">
        <v>216</v>
      </c>
      <c r="G4" s="127">
        <v>216</v>
      </c>
      <c r="H4" s="127">
        <v>216</v>
      </c>
      <c r="I4" s="127">
        <v>216</v>
      </c>
      <c r="J4" s="127">
        <v>235</v>
      </c>
      <c r="K4" s="127">
        <v>235</v>
      </c>
      <c r="L4" s="127">
        <v>235</v>
      </c>
      <c r="M4" s="127">
        <v>235</v>
      </c>
      <c r="N4" s="127">
        <v>235</v>
      </c>
    </row>
    <row r="5" spans="2:14" x14ac:dyDescent="0.35">
      <c r="B5" t="s">
        <v>11</v>
      </c>
      <c r="C5" s="127">
        <v>3321</v>
      </c>
      <c r="D5" s="127">
        <v>3811</v>
      </c>
      <c r="E5" s="127">
        <v>6357</v>
      </c>
      <c r="F5" s="127">
        <v>6528</v>
      </c>
      <c r="G5" s="127">
        <v>7065</v>
      </c>
      <c r="H5" s="127">
        <v>7651</v>
      </c>
      <c r="I5" s="127">
        <v>8013</v>
      </c>
      <c r="J5" s="127">
        <v>47439</v>
      </c>
      <c r="K5" s="127">
        <v>48826</v>
      </c>
      <c r="L5" s="127">
        <v>50069</v>
      </c>
      <c r="M5" s="127">
        <v>50983</v>
      </c>
      <c r="N5" s="127">
        <v>49167</v>
      </c>
    </row>
    <row r="6" spans="2:14" x14ac:dyDescent="0.35">
      <c r="B6" s="82" t="s">
        <v>176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2:14" x14ac:dyDescent="0.35">
      <c r="B7" t="s">
        <v>177</v>
      </c>
      <c r="C7" s="127">
        <v>8</v>
      </c>
      <c r="D7" s="127">
        <v>7</v>
      </c>
      <c r="E7" s="127">
        <v>0</v>
      </c>
      <c r="F7" s="127">
        <v>0</v>
      </c>
      <c r="G7" s="127">
        <v>0</v>
      </c>
      <c r="H7" s="127">
        <v>0</v>
      </c>
      <c r="I7" s="127">
        <v>0</v>
      </c>
      <c r="J7" s="127">
        <v>0</v>
      </c>
      <c r="K7" s="127">
        <v>0</v>
      </c>
      <c r="L7" s="127">
        <v>0</v>
      </c>
      <c r="M7" s="127">
        <v>0</v>
      </c>
      <c r="N7" s="127">
        <v>0</v>
      </c>
    </row>
    <row r="8" spans="2:14" x14ac:dyDescent="0.35">
      <c r="B8" t="s">
        <v>178</v>
      </c>
      <c r="C8" s="127">
        <v>37</v>
      </c>
      <c r="D8" s="127">
        <v>36</v>
      </c>
      <c r="E8" s="127">
        <v>177</v>
      </c>
      <c r="F8" s="127">
        <v>277</v>
      </c>
      <c r="G8" s="127">
        <v>0</v>
      </c>
      <c r="H8" s="127">
        <v>99</v>
      </c>
      <c r="I8" s="127">
        <v>0</v>
      </c>
      <c r="J8" s="127">
        <v>0</v>
      </c>
      <c r="K8" s="127">
        <v>0</v>
      </c>
      <c r="L8" s="127">
        <v>98</v>
      </c>
      <c r="M8" s="127">
        <v>13</v>
      </c>
      <c r="N8" s="127">
        <v>1</v>
      </c>
    </row>
    <row r="9" spans="2:14" x14ac:dyDescent="0.35">
      <c r="B9" t="s">
        <v>179</v>
      </c>
      <c r="C9" s="127">
        <v>0</v>
      </c>
      <c r="D9" s="127">
        <v>0</v>
      </c>
      <c r="E9" s="127">
        <v>0</v>
      </c>
      <c r="F9" s="127">
        <v>0</v>
      </c>
      <c r="G9" s="127">
        <v>0</v>
      </c>
      <c r="H9" s="127">
        <v>0</v>
      </c>
      <c r="I9" s="127">
        <v>0</v>
      </c>
      <c r="J9" s="127">
        <v>0</v>
      </c>
      <c r="K9" s="127">
        <v>1043</v>
      </c>
      <c r="L9" s="127">
        <v>1121</v>
      </c>
      <c r="M9" s="127">
        <v>1471</v>
      </c>
      <c r="N9" s="127">
        <v>1647</v>
      </c>
    </row>
    <row r="10" spans="2:14" x14ac:dyDescent="0.35">
      <c r="B10" s="82" t="s">
        <v>180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</row>
    <row r="11" spans="2:14" x14ac:dyDescent="0.35">
      <c r="B11" t="s">
        <v>181</v>
      </c>
      <c r="C11" s="127">
        <v>22</v>
      </c>
      <c r="D11" s="127">
        <v>25</v>
      </c>
      <c r="E11" s="127">
        <v>20</v>
      </c>
      <c r="F11" s="127">
        <v>22</v>
      </c>
      <c r="G11" s="127">
        <v>20</v>
      </c>
      <c r="H11" s="127">
        <v>18</v>
      </c>
      <c r="I11" s="127">
        <v>17</v>
      </c>
      <c r="J11" s="127">
        <v>20</v>
      </c>
      <c r="K11" s="127">
        <v>26</v>
      </c>
      <c r="L11" s="127">
        <v>218</v>
      </c>
      <c r="M11" s="127">
        <v>205</v>
      </c>
      <c r="N11" s="127">
        <v>207</v>
      </c>
    </row>
    <row r="12" spans="2:14" x14ac:dyDescent="0.35">
      <c r="B12" t="s">
        <v>182</v>
      </c>
      <c r="C12" s="127">
        <v>5825</v>
      </c>
      <c r="D12" s="127">
        <v>5506</v>
      </c>
      <c r="E12" s="127">
        <v>5685</v>
      </c>
      <c r="F12" s="127">
        <v>6186</v>
      </c>
      <c r="G12" s="127">
        <v>7170</v>
      </c>
      <c r="H12" s="127">
        <v>7206</v>
      </c>
      <c r="I12" s="127">
        <v>7535</v>
      </c>
      <c r="J12" s="127">
        <v>8802</v>
      </c>
      <c r="K12" s="127">
        <v>9068</v>
      </c>
      <c r="L12" s="127">
        <v>9574</v>
      </c>
      <c r="M12" s="127">
        <v>10486</v>
      </c>
      <c r="N12" s="127">
        <v>11315</v>
      </c>
    </row>
    <row r="13" spans="2:14" x14ac:dyDescent="0.35">
      <c r="B13" t="s">
        <v>183</v>
      </c>
      <c r="C13" s="127">
        <v>37</v>
      </c>
      <c r="D13" s="127">
        <v>45</v>
      </c>
      <c r="E13" s="127">
        <v>45</v>
      </c>
      <c r="F13" s="127">
        <v>78</v>
      </c>
      <c r="G13" s="127">
        <v>62</v>
      </c>
      <c r="H13" s="127">
        <v>43</v>
      </c>
      <c r="I13" s="127">
        <v>158</v>
      </c>
      <c r="J13" s="127">
        <v>96</v>
      </c>
      <c r="K13" s="127">
        <v>119</v>
      </c>
      <c r="L13" s="127">
        <v>98</v>
      </c>
      <c r="M13" s="127">
        <v>91</v>
      </c>
      <c r="N13" s="127">
        <v>105</v>
      </c>
    </row>
    <row r="14" spans="2:14" x14ac:dyDescent="0.35">
      <c r="B14" t="s">
        <v>184</v>
      </c>
      <c r="C14" s="127">
        <v>4287</v>
      </c>
      <c r="D14" s="127">
        <v>4783</v>
      </c>
      <c r="E14" s="127">
        <v>2293</v>
      </c>
      <c r="F14" s="127">
        <v>2399</v>
      </c>
      <c r="G14" s="127">
        <v>3329</v>
      </c>
      <c r="H14" s="127">
        <v>3396</v>
      </c>
      <c r="I14" s="127">
        <v>4214</v>
      </c>
      <c r="J14" s="127">
        <v>12148</v>
      </c>
      <c r="K14" s="127">
        <v>11189</v>
      </c>
      <c r="L14" s="127">
        <v>11664</v>
      </c>
      <c r="M14" s="127">
        <v>15005</v>
      </c>
      <c r="N14" s="127">
        <v>17186</v>
      </c>
    </row>
    <row r="15" spans="2:14" x14ac:dyDescent="0.35">
      <c r="B15" s="131" t="s">
        <v>185</v>
      </c>
      <c r="C15" s="132">
        <v>13754</v>
      </c>
      <c r="D15" s="132">
        <v>14430</v>
      </c>
      <c r="E15" s="132">
        <v>14793</v>
      </c>
      <c r="F15" s="132">
        <v>15706</v>
      </c>
      <c r="G15" s="132">
        <v>17862</v>
      </c>
      <c r="H15" s="132">
        <v>18629</v>
      </c>
      <c r="I15" s="132">
        <v>20153</v>
      </c>
      <c r="J15" s="132">
        <v>68740</v>
      </c>
      <c r="K15" s="132">
        <v>70506</v>
      </c>
      <c r="L15" s="132">
        <v>73077</v>
      </c>
      <c r="M15" s="132">
        <v>78489</v>
      </c>
      <c r="N15" s="132">
        <v>79863</v>
      </c>
    </row>
    <row r="16" spans="2:14" x14ac:dyDescent="0.35">
      <c r="B16" s="82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2:14" x14ac:dyDescent="0.35">
      <c r="B17" s="82" t="s">
        <v>186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2:14" x14ac:dyDescent="0.35">
      <c r="B18" t="s">
        <v>187</v>
      </c>
      <c r="C18" s="127">
        <v>133</v>
      </c>
      <c r="D18" s="127">
        <v>102</v>
      </c>
      <c r="E18" s="127">
        <v>88</v>
      </c>
      <c r="F18" s="127">
        <v>89</v>
      </c>
      <c r="G18" s="127">
        <v>87</v>
      </c>
      <c r="H18" s="127">
        <v>86</v>
      </c>
      <c r="I18" s="127">
        <v>59</v>
      </c>
      <c r="J18" s="127">
        <v>477</v>
      </c>
      <c r="K18" s="127">
        <v>477</v>
      </c>
      <c r="L18" s="127">
        <v>609</v>
      </c>
      <c r="M18" s="127">
        <v>633</v>
      </c>
      <c r="N18" s="127">
        <v>628</v>
      </c>
    </row>
    <row r="19" spans="2:14" x14ac:dyDescent="0.35">
      <c r="B19" t="s">
        <v>188</v>
      </c>
      <c r="C19" s="127">
        <v>1133</v>
      </c>
      <c r="D19" s="127">
        <v>1173</v>
      </c>
      <c r="E19" s="127">
        <v>931</v>
      </c>
      <c r="F19" s="127">
        <v>1210</v>
      </c>
      <c r="G19" s="127">
        <v>1343</v>
      </c>
      <c r="H19" s="127">
        <v>1527</v>
      </c>
      <c r="I19" s="127">
        <v>2044</v>
      </c>
      <c r="J19" s="127">
        <v>2602</v>
      </c>
      <c r="K19" s="127">
        <v>2788</v>
      </c>
      <c r="L19" s="127">
        <v>3101</v>
      </c>
      <c r="M19" s="127">
        <v>3590</v>
      </c>
      <c r="N19" s="127">
        <v>3833</v>
      </c>
    </row>
    <row r="20" spans="2:14" x14ac:dyDescent="0.35">
      <c r="B20" t="s">
        <v>189</v>
      </c>
      <c r="C20" s="127">
        <v>3176</v>
      </c>
      <c r="D20" s="127">
        <v>3481</v>
      </c>
      <c r="E20" s="127">
        <v>2370</v>
      </c>
      <c r="F20" s="127">
        <v>3270</v>
      </c>
      <c r="G20" s="127">
        <v>3691</v>
      </c>
      <c r="H20" s="127">
        <v>4092</v>
      </c>
      <c r="I20" s="127">
        <v>5001</v>
      </c>
      <c r="J20" s="127">
        <v>6097</v>
      </c>
      <c r="K20" s="127">
        <v>6566</v>
      </c>
      <c r="L20" s="127">
        <v>7612</v>
      </c>
      <c r="M20" s="127">
        <v>8946</v>
      </c>
      <c r="N20" s="127">
        <v>9900</v>
      </c>
    </row>
    <row r="21" spans="2:14" x14ac:dyDescent="0.35">
      <c r="B21" t="s">
        <v>190</v>
      </c>
      <c r="C21" s="127">
        <v>104</v>
      </c>
      <c r="D21" s="127">
        <v>106</v>
      </c>
      <c r="E21" s="127">
        <v>41</v>
      </c>
      <c r="F21" s="127">
        <v>62</v>
      </c>
      <c r="G21" s="127">
        <v>74</v>
      </c>
      <c r="H21" s="127">
        <v>95</v>
      </c>
      <c r="I21" s="127">
        <v>139</v>
      </c>
      <c r="J21" s="127">
        <v>175</v>
      </c>
      <c r="K21" s="127">
        <v>181</v>
      </c>
      <c r="L21" s="127">
        <v>185</v>
      </c>
      <c r="M21" s="127">
        <v>206</v>
      </c>
      <c r="N21" s="127">
        <v>245</v>
      </c>
    </row>
    <row r="22" spans="2:14" x14ac:dyDescent="0.35">
      <c r="B22" t="s">
        <v>191</v>
      </c>
      <c r="C22" s="127">
        <v>102</v>
      </c>
      <c r="D22" s="127">
        <v>108</v>
      </c>
      <c r="E22" s="127">
        <v>61</v>
      </c>
      <c r="F22" s="127">
        <v>66</v>
      </c>
      <c r="G22" s="127">
        <v>76</v>
      </c>
      <c r="H22" s="127">
        <v>88</v>
      </c>
      <c r="I22" s="127">
        <v>154</v>
      </c>
      <c r="J22" s="127">
        <v>156</v>
      </c>
      <c r="K22" s="127">
        <v>152</v>
      </c>
      <c r="L22" s="127">
        <v>161</v>
      </c>
      <c r="M22" s="127">
        <v>165</v>
      </c>
      <c r="N22" s="127">
        <v>174</v>
      </c>
    </row>
    <row r="23" spans="2:14" x14ac:dyDescent="0.35">
      <c r="B23" t="s">
        <v>192</v>
      </c>
      <c r="C23" s="127">
        <v>2</v>
      </c>
      <c r="D23" s="127">
        <v>1</v>
      </c>
      <c r="E23" s="127">
        <v>0</v>
      </c>
      <c r="F23" s="127">
        <v>0</v>
      </c>
      <c r="G23" s="127">
        <v>0</v>
      </c>
      <c r="H23" s="127">
        <v>0</v>
      </c>
      <c r="I23" s="127">
        <v>0</v>
      </c>
      <c r="J23" s="127">
        <v>0</v>
      </c>
      <c r="K23" s="127">
        <v>0</v>
      </c>
      <c r="L23" s="127">
        <v>33</v>
      </c>
      <c r="M23" s="127">
        <v>39</v>
      </c>
      <c r="N23" s="127">
        <v>102</v>
      </c>
    </row>
    <row r="24" spans="2:14" x14ac:dyDescent="0.35">
      <c r="B24" t="s">
        <v>193</v>
      </c>
      <c r="C24" s="127">
        <v>247</v>
      </c>
      <c r="D24" s="127">
        <v>247</v>
      </c>
      <c r="E24" s="127">
        <v>85</v>
      </c>
      <c r="F24" s="127">
        <v>455</v>
      </c>
      <c r="G24" s="127">
        <v>455</v>
      </c>
      <c r="H24" s="127">
        <v>511</v>
      </c>
      <c r="I24" s="127">
        <v>511</v>
      </c>
      <c r="J24" s="127">
        <v>45262</v>
      </c>
      <c r="K24" s="127">
        <v>45262</v>
      </c>
      <c r="L24" s="127">
        <v>45692</v>
      </c>
      <c r="M24" s="127">
        <v>45692</v>
      </c>
      <c r="N24" s="127">
        <v>45692</v>
      </c>
    </row>
    <row r="25" spans="2:14" x14ac:dyDescent="0.35">
      <c r="B25" t="s">
        <v>194</v>
      </c>
      <c r="C25" s="127">
        <v>183</v>
      </c>
      <c r="D25" s="127">
        <v>193</v>
      </c>
      <c r="E25" s="127">
        <v>19</v>
      </c>
      <c r="F25" s="127">
        <v>19</v>
      </c>
      <c r="G25" s="127">
        <v>26</v>
      </c>
      <c r="H25" s="127">
        <v>60</v>
      </c>
      <c r="I25" s="127">
        <v>71</v>
      </c>
      <c r="J25" s="127">
        <v>155</v>
      </c>
      <c r="K25" s="127">
        <v>152</v>
      </c>
      <c r="L25" s="127">
        <v>171</v>
      </c>
      <c r="M25" s="127">
        <v>180</v>
      </c>
      <c r="N25" s="127">
        <v>190</v>
      </c>
    </row>
    <row r="26" spans="2:14" x14ac:dyDescent="0.35">
      <c r="B26" s="82" t="s">
        <v>195</v>
      </c>
      <c r="C26" s="127">
        <v>5079</v>
      </c>
      <c r="D26" s="127">
        <v>5412</v>
      </c>
      <c r="E26" s="127">
        <v>3595</v>
      </c>
      <c r="F26" s="127">
        <v>5171</v>
      </c>
      <c r="G26" s="127">
        <v>5752</v>
      </c>
      <c r="H26" s="127">
        <v>6459</v>
      </c>
      <c r="I26" s="127">
        <v>7979</v>
      </c>
      <c r="J26" s="127">
        <v>54924</v>
      </c>
      <c r="K26" s="127">
        <v>55578</v>
      </c>
      <c r="L26" s="127">
        <v>57564</v>
      </c>
      <c r="M26" s="127">
        <v>59451</v>
      </c>
      <c r="N26" s="127">
        <v>60764</v>
      </c>
    </row>
    <row r="27" spans="2:14" x14ac:dyDescent="0.35">
      <c r="B27" s="82" t="s">
        <v>196</v>
      </c>
      <c r="C27" s="127">
        <v>2333</v>
      </c>
      <c r="D27" s="127">
        <v>2591</v>
      </c>
      <c r="E27" s="127">
        <v>337</v>
      </c>
      <c r="F27" s="127">
        <v>752</v>
      </c>
      <c r="G27" s="127">
        <v>1224</v>
      </c>
      <c r="H27" s="127">
        <v>1744</v>
      </c>
      <c r="I27" s="127">
        <v>2500</v>
      </c>
      <c r="J27" s="127">
        <v>3481</v>
      </c>
      <c r="K27" s="127">
        <v>4105</v>
      </c>
      <c r="L27" s="127">
        <v>4886</v>
      </c>
      <c r="M27" s="127">
        <v>5707</v>
      </c>
      <c r="N27" s="127">
        <v>6429</v>
      </c>
    </row>
    <row r="28" spans="2:14" x14ac:dyDescent="0.35">
      <c r="B28" s="82" t="s">
        <v>13</v>
      </c>
      <c r="C28" s="127">
        <f>SUM(C26:C27)</f>
        <v>7412</v>
      </c>
      <c r="D28" s="127">
        <f t="shared" ref="D28:N28" si="0">SUM(D26:D27)</f>
        <v>8003</v>
      </c>
      <c r="E28" s="127">
        <f t="shared" si="0"/>
        <v>3932</v>
      </c>
      <c r="F28" s="127">
        <f t="shared" si="0"/>
        <v>5923</v>
      </c>
      <c r="G28" s="127">
        <f t="shared" si="0"/>
        <v>6976</v>
      </c>
      <c r="H28" s="127">
        <f t="shared" si="0"/>
        <v>8203</v>
      </c>
      <c r="I28" s="127">
        <f t="shared" si="0"/>
        <v>10479</v>
      </c>
      <c r="J28" s="127">
        <f t="shared" si="0"/>
        <v>58405</v>
      </c>
      <c r="K28" s="127">
        <f t="shared" si="0"/>
        <v>59683</v>
      </c>
      <c r="L28" s="127">
        <f t="shared" si="0"/>
        <v>62450</v>
      </c>
      <c r="M28" s="127">
        <f t="shared" si="0"/>
        <v>65158</v>
      </c>
      <c r="N28" s="127">
        <f t="shared" si="0"/>
        <v>67193</v>
      </c>
    </row>
    <row r="29" spans="2:14" x14ac:dyDescent="0.35">
      <c r="B29" s="82" t="s">
        <v>197</v>
      </c>
      <c r="C29" s="127">
        <v>373</v>
      </c>
      <c r="D29" s="127">
        <v>516</v>
      </c>
      <c r="E29" s="127">
        <v>408</v>
      </c>
      <c r="F29" s="127">
        <v>229</v>
      </c>
      <c r="G29" s="127">
        <v>461</v>
      </c>
      <c r="H29" s="127">
        <v>406</v>
      </c>
      <c r="I29" s="127">
        <v>597</v>
      </c>
      <c r="J29" s="127">
        <v>745</v>
      </c>
      <c r="K29" s="127">
        <v>1313</v>
      </c>
      <c r="L29" s="127">
        <v>1132</v>
      </c>
      <c r="M29" s="127">
        <v>1025</v>
      </c>
      <c r="N29" s="127">
        <v>1009</v>
      </c>
    </row>
    <row r="30" spans="2:14" x14ac:dyDescent="0.35">
      <c r="B30" s="82" t="s">
        <v>15</v>
      </c>
      <c r="C30" s="127">
        <v>2838</v>
      </c>
      <c r="D30" s="127">
        <v>3025</v>
      </c>
      <c r="E30" s="127">
        <v>2592</v>
      </c>
      <c r="F30" s="127">
        <v>3794</v>
      </c>
      <c r="G30" s="127">
        <v>2873</v>
      </c>
      <c r="H30" s="127">
        <v>2716</v>
      </c>
      <c r="I30" s="127">
        <v>1255</v>
      </c>
      <c r="J30" s="127">
        <v>2709</v>
      </c>
      <c r="K30" s="127">
        <v>3521</v>
      </c>
      <c r="L30" s="127">
        <v>2882</v>
      </c>
      <c r="M30" s="127">
        <v>4625</v>
      </c>
      <c r="N30" s="127">
        <v>3810</v>
      </c>
    </row>
    <row r="31" spans="2:14" x14ac:dyDescent="0.35">
      <c r="B31" s="82" t="s">
        <v>198</v>
      </c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</row>
    <row r="32" spans="2:14" x14ac:dyDescent="0.35">
      <c r="B32" t="s">
        <v>199</v>
      </c>
      <c r="C32" s="127">
        <v>2940</v>
      </c>
      <c r="D32" s="127">
        <v>2849</v>
      </c>
      <c r="E32" s="127">
        <v>2726</v>
      </c>
      <c r="F32" s="127">
        <v>2541</v>
      </c>
      <c r="G32" s="127">
        <v>2513</v>
      </c>
      <c r="H32" s="127">
        <v>2574</v>
      </c>
      <c r="I32" s="127">
        <v>2767</v>
      </c>
      <c r="J32" s="127">
        <v>3579</v>
      </c>
      <c r="K32" s="127">
        <v>4096</v>
      </c>
      <c r="L32" s="127">
        <v>4251</v>
      </c>
      <c r="M32" s="127">
        <v>4022</v>
      </c>
      <c r="N32" s="127">
        <v>4415</v>
      </c>
    </row>
    <row r="33" spans="2:14" x14ac:dyDescent="0.35">
      <c r="B33" t="s">
        <v>200</v>
      </c>
      <c r="C33" s="127">
        <v>1017</v>
      </c>
      <c r="D33" s="127">
        <v>1010</v>
      </c>
      <c r="E33" s="127">
        <v>1264</v>
      </c>
      <c r="F33" s="127">
        <v>1085</v>
      </c>
      <c r="G33" s="127">
        <v>1310</v>
      </c>
      <c r="H33" s="127">
        <v>1816</v>
      </c>
      <c r="I33" s="127">
        <v>1149</v>
      </c>
      <c r="J33" s="127">
        <v>1758</v>
      </c>
      <c r="K33" s="127">
        <v>2236</v>
      </c>
      <c r="L33" s="127">
        <v>3079</v>
      </c>
      <c r="M33" s="127">
        <v>2997</v>
      </c>
      <c r="N33" s="127">
        <v>3819</v>
      </c>
    </row>
    <row r="34" spans="2:14" x14ac:dyDescent="0.35">
      <c r="B34" t="s">
        <v>201</v>
      </c>
      <c r="C34" s="127">
        <v>2516</v>
      </c>
      <c r="D34" s="127">
        <v>2689</v>
      </c>
      <c r="E34" s="127">
        <v>3009</v>
      </c>
      <c r="F34" s="127">
        <v>1828</v>
      </c>
      <c r="G34" s="127">
        <v>3485</v>
      </c>
      <c r="H34" s="127">
        <v>3757</v>
      </c>
      <c r="I34" s="127">
        <v>5113</v>
      </c>
      <c r="J34" s="127">
        <v>4471</v>
      </c>
      <c r="K34" s="127">
        <v>3846</v>
      </c>
      <c r="L34" s="127">
        <v>4678</v>
      </c>
      <c r="M34" s="127">
        <v>7559</v>
      </c>
      <c r="N34" s="127">
        <v>7554</v>
      </c>
    </row>
    <row r="35" spans="2:14" x14ac:dyDescent="0.35">
      <c r="B35" t="s">
        <v>202</v>
      </c>
      <c r="C35" s="127">
        <v>0</v>
      </c>
      <c r="D35" s="127">
        <v>0</v>
      </c>
      <c r="E35" s="127">
        <v>0</v>
      </c>
      <c r="F35" s="127">
        <v>71</v>
      </c>
      <c r="G35" s="127">
        <v>40</v>
      </c>
      <c r="H35" s="127">
        <v>26</v>
      </c>
      <c r="I35" s="127">
        <v>19</v>
      </c>
      <c r="J35" s="127">
        <v>78</v>
      </c>
      <c r="K35" s="127">
        <v>170</v>
      </c>
      <c r="L35" s="127">
        <v>188</v>
      </c>
      <c r="M35" s="127">
        <v>172</v>
      </c>
      <c r="N35" s="127">
        <v>242</v>
      </c>
    </row>
    <row r="36" spans="2:14" x14ac:dyDescent="0.35">
      <c r="B36" t="s">
        <v>203</v>
      </c>
      <c r="C36" s="127">
        <v>1324</v>
      </c>
      <c r="D36" s="127">
        <v>1519</v>
      </c>
      <c r="E36" s="127">
        <v>1536</v>
      </c>
      <c r="F36" s="127">
        <v>1739</v>
      </c>
      <c r="G36" s="127">
        <v>2652</v>
      </c>
      <c r="H36" s="127">
        <v>2619</v>
      </c>
      <c r="I36" s="127">
        <v>3774</v>
      </c>
      <c r="J36" s="127">
        <v>3957</v>
      </c>
      <c r="K36" s="127">
        <v>3851</v>
      </c>
      <c r="L36" s="127">
        <v>4189</v>
      </c>
      <c r="M36" s="127">
        <v>4345</v>
      </c>
      <c r="N36" s="127">
        <v>4679</v>
      </c>
    </row>
    <row r="37" spans="2:14" x14ac:dyDescent="0.35">
      <c r="B37" s="131" t="s">
        <v>85</v>
      </c>
      <c r="C37" s="133">
        <v>13754</v>
      </c>
      <c r="D37" s="133">
        <v>14430</v>
      </c>
      <c r="E37" s="133">
        <v>14793</v>
      </c>
      <c r="F37" s="133">
        <v>15706</v>
      </c>
      <c r="G37" s="133">
        <v>17862</v>
      </c>
      <c r="H37" s="133">
        <v>18629</v>
      </c>
      <c r="I37" s="133">
        <v>20153</v>
      </c>
      <c r="J37" s="133">
        <v>68740</v>
      </c>
      <c r="K37" s="133">
        <v>70506</v>
      </c>
      <c r="L37" s="133">
        <v>73077</v>
      </c>
      <c r="M37" s="133">
        <v>78489</v>
      </c>
      <c r="N37" s="133">
        <v>79863</v>
      </c>
    </row>
    <row r="40" spans="2:14" ht="15" thickBot="1" x14ac:dyDescent="0.4">
      <c r="B40" s="122" t="s">
        <v>174</v>
      </c>
      <c r="C40" s="128">
        <v>41699</v>
      </c>
      <c r="D40" s="128">
        <v>42064</v>
      </c>
      <c r="E40" s="128">
        <v>42430</v>
      </c>
      <c r="F40" s="128">
        <v>42795</v>
      </c>
      <c r="G40" s="128">
        <v>43160</v>
      </c>
      <c r="H40" s="128">
        <v>43525</v>
      </c>
      <c r="I40" s="128">
        <v>43891</v>
      </c>
      <c r="J40" s="128">
        <v>44256</v>
      </c>
      <c r="K40" s="128">
        <v>44621</v>
      </c>
      <c r="L40" s="128">
        <v>44986</v>
      </c>
      <c r="M40" s="128">
        <v>45352</v>
      </c>
      <c r="N40" s="128">
        <v>45717</v>
      </c>
    </row>
    <row r="41" spans="2:14" ht="15" thickBot="1" x14ac:dyDescent="0.4">
      <c r="B41" s="134" t="s">
        <v>320</v>
      </c>
      <c r="C41" s="135">
        <v>3818</v>
      </c>
      <c r="D41" s="135">
        <v>3292</v>
      </c>
      <c r="E41" s="135">
        <v>4171</v>
      </c>
      <c r="F41" s="135">
        <v>5185</v>
      </c>
      <c r="G41" s="135">
        <v>6059</v>
      </c>
      <c r="H41" s="135">
        <v>5800</v>
      </c>
      <c r="I41" s="135">
        <v>7623</v>
      </c>
      <c r="J41" s="135">
        <v>9163</v>
      </c>
      <c r="K41" s="135">
        <v>9048</v>
      </c>
      <c r="L41" s="135">
        <v>9991</v>
      </c>
      <c r="M41" s="135">
        <v>15469</v>
      </c>
      <c r="N41" s="135">
        <v>11886</v>
      </c>
    </row>
    <row r="42" spans="2:14" x14ac:dyDescent="0.35">
      <c r="B42" s="136" t="s">
        <v>89</v>
      </c>
      <c r="C42" s="135">
        <v>4802</v>
      </c>
      <c r="D42" s="135">
        <v>5510</v>
      </c>
      <c r="E42" s="135">
        <v>6025</v>
      </c>
      <c r="F42" s="135">
        <v>6512</v>
      </c>
      <c r="G42" s="135">
        <v>7485</v>
      </c>
      <c r="H42" s="135">
        <v>8909</v>
      </c>
      <c r="I42" s="135">
        <v>9723</v>
      </c>
      <c r="J42" s="135">
        <v>11672</v>
      </c>
      <c r="K42" s="135">
        <v>12829</v>
      </c>
      <c r="L42" s="135">
        <v>14089</v>
      </c>
      <c r="M42" s="135">
        <v>14537</v>
      </c>
      <c r="N42" s="135">
        <v>14942</v>
      </c>
    </row>
    <row r="43" spans="2:14" x14ac:dyDescent="0.35">
      <c r="B43" s="137" t="s">
        <v>42</v>
      </c>
      <c r="C43" s="138">
        <v>-17</v>
      </c>
      <c r="D43" s="138">
        <v>3</v>
      </c>
      <c r="E43" s="138">
        <v>-257</v>
      </c>
      <c r="F43" s="138">
        <v>173</v>
      </c>
      <c r="G43" s="138">
        <v>0</v>
      </c>
      <c r="H43" s="138">
        <v>0</v>
      </c>
      <c r="I43" s="138">
        <v>0</v>
      </c>
      <c r="J43" s="138">
        <v>0</v>
      </c>
      <c r="K43" s="138">
        <v>0</v>
      </c>
      <c r="L43" s="138">
        <v>0</v>
      </c>
      <c r="M43" s="138">
        <v>0</v>
      </c>
      <c r="N43" s="138">
        <v>0</v>
      </c>
    </row>
    <row r="44" spans="2:14" x14ac:dyDescent="0.35">
      <c r="B44" s="137" t="s">
        <v>29</v>
      </c>
      <c r="C44" s="138">
        <v>-201</v>
      </c>
      <c r="D44" s="138">
        <v>91</v>
      </c>
      <c r="E44" s="138">
        <v>89</v>
      </c>
      <c r="F44" s="138">
        <v>37</v>
      </c>
      <c r="G44" s="138">
        <v>-146</v>
      </c>
      <c r="H44" s="138">
        <v>-195</v>
      </c>
      <c r="I44" s="138">
        <v>-331</v>
      </c>
      <c r="J44" s="138">
        <v>-543</v>
      </c>
      <c r="K44" s="138">
        <v>-758</v>
      </c>
      <c r="L44" s="138">
        <v>-339</v>
      </c>
      <c r="M44" s="138">
        <v>74</v>
      </c>
      <c r="N44" s="138">
        <v>-584</v>
      </c>
    </row>
    <row r="45" spans="2:14" x14ac:dyDescent="0.35">
      <c r="B45" s="137" t="s">
        <v>90</v>
      </c>
      <c r="C45" s="138">
        <v>546</v>
      </c>
      <c r="D45" s="138">
        <v>-327</v>
      </c>
      <c r="E45" s="138">
        <v>164</v>
      </c>
      <c r="F45" s="138">
        <v>501</v>
      </c>
      <c r="G45" s="138">
        <v>0</v>
      </c>
      <c r="H45" s="138">
        <v>0</v>
      </c>
      <c r="I45" s="138">
        <v>0</v>
      </c>
      <c r="J45" s="138">
        <v>0</v>
      </c>
      <c r="K45" s="138">
        <v>0</v>
      </c>
      <c r="L45" s="138">
        <v>0</v>
      </c>
      <c r="M45" s="138">
        <v>0</v>
      </c>
      <c r="N45" s="138">
        <v>0</v>
      </c>
    </row>
    <row r="46" spans="2:14" x14ac:dyDescent="0.35">
      <c r="B46" s="137" t="s">
        <v>91</v>
      </c>
      <c r="C46" s="138">
        <v>-4</v>
      </c>
      <c r="D46" s="138">
        <v>-148</v>
      </c>
      <c r="E46" s="138">
        <v>0</v>
      </c>
      <c r="F46" s="138">
        <v>0</v>
      </c>
      <c r="G46" s="138">
        <v>0</v>
      </c>
      <c r="H46" s="138">
        <v>0</v>
      </c>
      <c r="I46" s="138">
        <v>0</v>
      </c>
      <c r="J46" s="138">
        <v>0</v>
      </c>
      <c r="K46" s="138">
        <v>0</v>
      </c>
      <c r="L46" s="138">
        <v>0</v>
      </c>
      <c r="M46" s="138">
        <v>0</v>
      </c>
      <c r="N46" s="138">
        <v>0</v>
      </c>
    </row>
    <row r="47" spans="2:14" x14ac:dyDescent="0.35">
      <c r="B47" s="137" t="s">
        <v>92</v>
      </c>
      <c r="C47" s="138">
        <v>0</v>
      </c>
      <c r="D47" s="138">
        <v>0</v>
      </c>
      <c r="E47" s="138">
        <v>0</v>
      </c>
      <c r="F47" s="138">
        <v>-46</v>
      </c>
      <c r="G47" s="138">
        <v>0</v>
      </c>
      <c r="H47" s="138">
        <v>0</v>
      </c>
      <c r="I47" s="138">
        <v>0</v>
      </c>
      <c r="J47" s="138">
        <v>0</v>
      </c>
      <c r="K47" s="138">
        <v>0</v>
      </c>
      <c r="L47" s="138">
        <v>0</v>
      </c>
      <c r="M47" s="138">
        <v>0</v>
      </c>
      <c r="N47" s="138">
        <v>0</v>
      </c>
    </row>
    <row r="48" spans="2:14" ht="15" thickBot="1" x14ac:dyDescent="0.4">
      <c r="B48" s="137" t="s">
        <v>93</v>
      </c>
      <c r="C48" s="138">
        <v>81</v>
      </c>
      <c r="D48" s="138">
        <v>38</v>
      </c>
      <c r="E48" s="138">
        <v>-77</v>
      </c>
      <c r="F48" s="138">
        <v>-99</v>
      </c>
      <c r="G48" s="138">
        <v>982</v>
      </c>
      <c r="H48" s="138">
        <v>-147</v>
      </c>
      <c r="I48" s="138">
        <v>742</v>
      </c>
      <c r="J48" s="138">
        <v>442</v>
      </c>
      <c r="K48" s="138">
        <v>-242</v>
      </c>
      <c r="L48" s="138">
        <v>-621</v>
      </c>
      <c r="M48" s="139">
        <v>1239</v>
      </c>
      <c r="N48" s="138">
        <v>-204</v>
      </c>
    </row>
    <row r="49" spans="2:14" x14ac:dyDescent="0.35">
      <c r="B49" s="136" t="s">
        <v>94</v>
      </c>
      <c r="C49" s="140">
        <v>405</v>
      </c>
      <c r="D49" s="140">
        <v>-342</v>
      </c>
      <c r="E49" s="140">
        <v>-81</v>
      </c>
      <c r="F49" s="140">
        <v>566</v>
      </c>
      <c r="G49" s="140">
        <v>836</v>
      </c>
      <c r="H49" s="140">
        <v>-342</v>
      </c>
      <c r="I49" s="140">
        <v>411</v>
      </c>
      <c r="J49" s="140">
        <v>-101</v>
      </c>
      <c r="K49" s="135">
        <v>-1000</v>
      </c>
      <c r="L49" s="140">
        <v>-960</v>
      </c>
      <c r="M49" s="135">
        <v>1313</v>
      </c>
      <c r="N49" s="140">
        <v>-788</v>
      </c>
    </row>
    <row r="50" spans="2:14" x14ac:dyDescent="0.35">
      <c r="B50" s="137" t="s">
        <v>95</v>
      </c>
      <c r="C50" s="139">
        <v>-1384</v>
      </c>
      <c r="D50" s="139">
        <v>-1862</v>
      </c>
      <c r="E50" s="139">
        <v>-1765</v>
      </c>
      <c r="F50" s="139">
        <v>-1859</v>
      </c>
      <c r="G50" s="139">
        <v>-2264</v>
      </c>
      <c r="H50" s="139">
        <v>-2767</v>
      </c>
      <c r="I50" s="139">
        <v>-2505</v>
      </c>
      <c r="J50" s="139">
        <v>-2407</v>
      </c>
      <c r="K50" s="139">
        <v>-2784</v>
      </c>
      <c r="L50" s="139">
        <v>-3138</v>
      </c>
      <c r="M50" s="138">
        <v>-381</v>
      </c>
      <c r="N50" s="139">
        <v>-2268</v>
      </c>
    </row>
    <row r="51" spans="2:14" x14ac:dyDescent="0.35">
      <c r="B51" s="137" t="s">
        <v>96</v>
      </c>
      <c r="C51" s="138">
        <v>-5</v>
      </c>
      <c r="D51" s="138">
        <v>-14</v>
      </c>
      <c r="E51" s="138">
        <v>-8</v>
      </c>
      <c r="F51" s="138">
        <v>-21</v>
      </c>
      <c r="G51" s="138">
        <v>0</v>
      </c>
      <c r="H51" s="138">
        <v>0</v>
      </c>
      <c r="I51" s="138">
        <v>0</v>
      </c>
      <c r="J51" s="138">
        <v>0</v>
      </c>
      <c r="K51" s="138">
        <v>0</v>
      </c>
      <c r="L51" s="138">
        <v>0</v>
      </c>
      <c r="M51" s="138">
        <v>0</v>
      </c>
      <c r="N51" s="138">
        <v>0</v>
      </c>
    </row>
    <row r="52" spans="2:14" ht="15" thickBot="1" x14ac:dyDescent="0.4">
      <c r="B52" s="137" t="s">
        <v>97</v>
      </c>
      <c r="C52" s="138">
        <v>0</v>
      </c>
      <c r="D52" s="138">
        <v>0</v>
      </c>
      <c r="E52" s="138">
        <v>0</v>
      </c>
      <c r="F52" s="138">
        <v>-13</v>
      </c>
      <c r="G52" s="138">
        <v>2</v>
      </c>
      <c r="H52" s="138">
        <v>0</v>
      </c>
      <c r="I52" s="138">
        <v>-6</v>
      </c>
      <c r="J52" s="138">
        <v>-1</v>
      </c>
      <c r="K52" s="138">
        <v>3</v>
      </c>
      <c r="L52" s="138">
        <v>0</v>
      </c>
      <c r="M52" s="138">
        <v>0</v>
      </c>
      <c r="N52" s="138">
        <v>0</v>
      </c>
    </row>
    <row r="53" spans="2:14" x14ac:dyDescent="0.35">
      <c r="B53" s="141" t="s">
        <v>321</v>
      </c>
      <c r="C53" s="142">
        <v>-475</v>
      </c>
      <c r="D53" s="142">
        <v>138</v>
      </c>
      <c r="E53" s="142">
        <v>-282</v>
      </c>
      <c r="F53" s="143">
        <v>-1173</v>
      </c>
      <c r="G53" s="143">
        <v>-1063</v>
      </c>
      <c r="H53" s="142">
        <v>-438</v>
      </c>
      <c r="I53" s="143">
        <v>1791</v>
      </c>
      <c r="J53" s="143">
        <v>-1228</v>
      </c>
      <c r="K53" s="143">
        <v>-1728</v>
      </c>
      <c r="L53" s="143">
        <v>-1484</v>
      </c>
      <c r="M53" s="143">
        <v>-5324</v>
      </c>
      <c r="N53" s="143">
        <v>6473</v>
      </c>
    </row>
    <row r="54" spans="2:14" x14ac:dyDescent="0.35">
      <c r="B54" s="144" t="s">
        <v>98</v>
      </c>
      <c r="C54" s="145">
        <v>-606</v>
      </c>
      <c r="D54" s="145">
        <v>-606</v>
      </c>
      <c r="E54" s="145">
        <v>-810</v>
      </c>
      <c r="F54" s="146">
        <v>-1113</v>
      </c>
      <c r="G54" s="145">
        <v>-895</v>
      </c>
      <c r="H54" s="145">
        <v>-767</v>
      </c>
      <c r="I54" s="145">
        <v>-862</v>
      </c>
      <c r="J54" s="146">
        <v>-4163</v>
      </c>
      <c r="K54" s="146">
        <v>-1228</v>
      </c>
      <c r="L54" s="146">
        <v>-1192</v>
      </c>
      <c r="M54" s="146">
        <v>-1477</v>
      </c>
      <c r="N54" s="146">
        <v>-1275</v>
      </c>
    </row>
    <row r="55" spans="2:14" x14ac:dyDescent="0.35">
      <c r="B55" s="144" t="s">
        <v>99</v>
      </c>
      <c r="C55" s="145">
        <v>229</v>
      </c>
      <c r="D55" s="145">
        <v>560</v>
      </c>
      <c r="E55" s="145">
        <v>99</v>
      </c>
      <c r="F55" s="145">
        <v>176</v>
      </c>
      <c r="G55" s="145">
        <v>32</v>
      </c>
      <c r="H55" s="145">
        <v>13</v>
      </c>
      <c r="I55" s="145">
        <v>52</v>
      </c>
      <c r="J55" s="145">
        <v>97</v>
      </c>
      <c r="K55" s="145">
        <v>175</v>
      </c>
      <c r="L55" s="145">
        <v>181</v>
      </c>
      <c r="M55" s="145">
        <v>20</v>
      </c>
      <c r="N55" s="145">
        <v>13</v>
      </c>
    </row>
    <row r="56" spans="2:14" x14ac:dyDescent="0.35">
      <c r="B56" s="144" t="s">
        <v>100</v>
      </c>
      <c r="C56" s="146">
        <v>-9538</v>
      </c>
      <c r="D56" s="146">
        <v>-19353</v>
      </c>
      <c r="E56" s="146">
        <v>-20666</v>
      </c>
      <c r="F56" s="146">
        <v>-31214</v>
      </c>
      <c r="G56" s="146">
        <v>-51855</v>
      </c>
      <c r="H56" s="146">
        <v>-74365</v>
      </c>
      <c r="I56" s="146">
        <v>-36090</v>
      </c>
      <c r="J56" s="146">
        <v>-39920</v>
      </c>
      <c r="K56" s="146">
        <v>-48522</v>
      </c>
      <c r="L56" s="146">
        <v>-22649</v>
      </c>
      <c r="M56" s="146">
        <v>-21337</v>
      </c>
      <c r="N56" s="146">
        <v>-22957</v>
      </c>
    </row>
    <row r="57" spans="2:14" x14ac:dyDescent="0.35">
      <c r="B57" s="144" t="s">
        <v>101</v>
      </c>
      <c r="C57" s="146">
        <v>9213</v>
      </c>
      <c r="D57" s="146">
        <v>19461</v>
      </c>
      <c r="E57" s="146">
        <v>20937</v>
      </c>
      <c r="F57" s="146">
        <v>30083</v>
      </c>
      <c r="G57" s="146">
        <v>52897</v>
      </c>
      <c r="H57" s="146">
        <v>74691</v>
      </c>
      <c r="I57" s="146">
        <v>37690</v>
      </c>
      <c r="J57" s="146">
        <v>38486</v>
      </c>
      <c r="K57" s="146">
        <v>47786</v>
      </c>
      <c r="L57" s="146">
        <v>23462</v>
      </c>
      <c r="M57" s="146">
        <v>19846</v>
      </c>
      <c r="N57" s="146">
        <v>23987</v>
      </c>
    </row>
    <row r="58" spans="2:14" x14ac:dyDescent="0.35">
      <c r="B58" s="144" t="s">
        <v>102</v>
      </c>
      <c r="C58" s="145">
        <v>232</v>
      </c>
      <c r="D58" s="145">
        <v>218</v>
      </c>
      <c r="E58" s="145">
        <v>315</v>
      </c>
      <c r="F58" s="145">
        <v>264</v>
      </c>
      <c r="G58" s="145">
        <v>297</v>
      </c>
      <c r="H58" s="145">
        <v>289</v>
      </c>
      <c r="I58" s="145">
        <v>351</v>
      </c>
      <c r="J58" s="145">
        <v>277</v>
      </c>
      <c r="K58" s="145">
        <v>161</v>
      </c>
      <c r="L58" s="145">
        <v>259</v>
      </c>
      <c r="M58" s="145">
        <v>425</v>
      </c>
      <c r="N58" s="145">
        <v>835</v>
      </c>
    </row>
    <row r="59" spans="2:14" x14ac:dyDescent="0.35">
      <c r="B59" s="144" t="s">
        <v>103</v>
      </c>
      <c r="C59" s="145">
        <v>16</v>
      </c>
      <c r="D59" s="145">
        <v>24</v>
      </c>
      <c r="E59" s="145">
        <v>33</v>
      </c>
      <c r="F59" s="145">
        <v>14</v>
      </c>
      <c r="G59" s="145">
        <v>0</v>
      </c>
      <c r="H59" s="145">
        <v>1</v>
      </c>
      <c r="I59" s="145">
        <v>1</v>
      </c>
      <c r="J59" s="145">
        <v>1</v>
      </c>
      <c r="K59" s="145">
        <v>1</v>
      </c>
      <c r="L59" s="145">
        <v>2</v>
      </c>
      <c r="M59" s="145">
        <v>3</v>
      </c>
      <c r="N59" s="145">
        <v>0</v>
      </c>
    </row>
    <row r="60" spans="2:14" x14ac:dyDescent="0.35">
      <c r="B60" s="144" t="s">
        <v>104</v>
      </c>
      <c r="C60" s="145">
        <v>-101</v>
      </c>
      <c r="D60" s="145">
        <v>0</v>
      </c>
      <c r="E60" s="145">
        <v>0</v>
      </c>
      <c r="F60" s="145">
        <v>0</v>
      </c>
      <c r="G60" s="145">
        <v>0</v>
      </c>
      <c r="H60" s="145">
        <v>0</v>
      </c>
      <c r="I60" s="145">
        <v>0</v>
      </c>
      <c r="J60" s="145">
        <v>0</v>
      </c>
      <c r="K60" s="145">
        <v>0</v>
      </c>
      <c r="L60" s="145">
        <v>0</v>
      </c>
      <c r="M60" s="145">
        <v>0</v>
      </c>
      <c r="N60" s="145">
        <v>0</v>
      </c>
    </row>
    <row r="61" spans="2:14" x14ac:dyDescent="0.35">
      <c r="B61" s="144" t="s">
        <v>105</v>
      </c>
      <c r="C61" s="145">
        <v>-104</v>
      </c>
      <c r="D61" s="145">
        <v>0</v>
      </c>
      <c r="E61" s="145">
        <v>0</v>
      </c>
      <c r="F61" s="145">
        <v>0</v>
      </c>
      <c r="G61" s="145">
        <v>0</v>
      </c>
      <c r="H61" s="145">
        <v>0</v>
      </c>
      <c r="I61" s="145">
        <v>0</v>
      </c>
      <c r="J61" s="145">
        <v>0</v>
      </c>
      <c r="K61" s="145">
        <v>0</v>
      </c>
      <c r="L61" s="145">
        <v>0</v>
      </c>
      <c r="M61" s="145">
        <v>0</v>
      </c>
      <c r="N61" s="145">
        <v>0</v>
      </c>
    </row>
    <row r="62" spans="2:14" x14ac:dyDescent="0.35">
      <c r="B62" s="144" t="s">
        <v>106</v>
      </c>
      <c r="C62" s="145">
        <v>0</v>
      </c>
      <c r="D62" s="145">
        <v>200</v>
      </c>
      <c r="E62" s="145">
        <v>161</v>
      </c>
      <c r="F62" s="145">
        <v>20</v>
      </c>
      <c r="G62" s="145">
        <v>73</v>
      </c>
      <c r="H62" s="145">
        <v>0</v>
      </c>
      <c r="I62" s="145">
        <v>0</v>
      </c>
      <c r="J62" s="145">
        <v>0</v>
      </c>
      <c r="K62" s="145">
        <v>0</v>
      </c>
      <c r="L62" s="145">
        <v>0</v>
      </c>
      <c r="M62" s="145">
        <v>0</v>
      </c>
      <c r="N62" s="145">
        <v>0</v>
      </c>
    </row>
    <row r="63" spans="2:14" x14ac:dyDescent="0.35">
      <c r="B63" s="144" t="s">
        <v>107</v>
      </c>
      <c r="C63" s="145">
        <v>0</v>
      </c>
      <c r="D63" s="145">
        <v>0</v>
      </c>
      <c r="E63" s="145">
        <v>0</v>
      </c>
      <c r="F63" s="145">
        <v>0</v>
      </c>
      <c r="G63" s="145">
        <v>0</v>
      </c>
      <c r="H63" s="145">
        <v>0</v>
      </c>
      <c r="I63" s="145">
        <v>0</v>
      </c>
      <c r="J63" s="145">
        <v>0</v>
      </c>
      <c r="K63" s="145">
        <v>0</v>
      </c>
      <c r="L63" s="145">
        <v>-334</v>
      </c>
      <c r="M63" s="145">
        <v>0</v>
      </c>
      <c r="N63" s="145">
        <v>0</v>
      </c>
    </row>
    <row r="64" spans="2:14" ht="15" thickBot="1" x14ac:dyDescent="0.4">
      <c r="B64" s="144" t="s">
        <v>108</v>
      </c>
      <c r="C64" s="145">
        <v>183</v>
      </c>
      <c r="D64" s="145">
        <v>-367</v>
      </c>
      <c r="E64" s="145">
        <v>-351</v>
      </c>
      <c r="F64" s="145">
        <v>597</v>
      </c>
      <c r="G64" s="146">
        <v>-1612</v>
      </c>
      <c r="H64" s="145">
        <v>-300</v>
      </c>
      <c r="I64" s="145">
        <v>649</v>
      </c>
      <c r="J64" s="146">
        <v>3994</v>
      </c>
      <c r="K64" s="145">
        <v>-101</v>
      </c>
      <c r="L64" s="146">
        <v>-1213</v>
      </c>
      <c r="M64" s="146">
        <v>-2804</v>
      </c>
      <c r="N64" s="146">
        <v>5870</v>
      </c>
    </row>
    <row r="65" spans="2:14" x14ac:dyDescent="0.35">
      <c r="B65" s="134" t="s">
        <v>322</v>
      </c>
      <c r="C65" s="135">
        <v>-2960</v>
      </c>
      <c r="D65" s="135">
        <v>-3462</v>
      </c>
      <c r="E65" s="135">
        <v>-3864</v>
      </c>
      <c r="F65" s="135">
        <v>-4214</v>
      </c>
      <c r="G65" s="135">
        <v>-4975</v>
      </c>
      <c r="H65" s="135">
        <v>-5390</v>
      </c>
      <c r="I65" s="135">
        <v>-6819</v>
      </c>
      <c r="J65" s="135">
        <v>-9309</v>
      </c>
      <c r="K65" s="135">
        <v>-8015</v>
      </c>
      <c r="L65" s="135">
        <v>-8953</v>
      </c>
      <c r="M65" s="135">
        <v>-10034</v>
      </c>
      <c r="N65" s="135">
        <v>-13101</v>
      </c>
    </row>
    <row r="66" spans="2:14" x14ac:dyDescent="0.35">
      <c r="B66" s="137" t="s">
        <v>109</v>
      </c>
      <c r="C66" s="138">
        <v>2</v>
      </c>
      <c r="D66" s="138">
        <v>2</v>
      </c>
      <c r="E66" s="138">
        <v>0</v>
      </c>
      <c r="F66" s="138">
        <v>0</v>
      </c>
      <c r="G66" s="138">
        <v>0</v>
      </c>
      <c r="H66" s="138">
        <v>0</v>
      </c>
      <c r="I66" s="138">
        <v>0</v>
      </c>
      <c r="J66" s="138">
        <v>0</v>
      </c>
      <c r="K66" s="138">
        <v>0</v>
      </c>
      <c r="L66" s="138">
        <v>0</v>
      </c>
      <c r="M66" s="138">
        <v>0</v>
      </c>
      <c r="N66" s="138">
        <v>0</v>
      </c>
    </row>
    <row r="67" spans="2:14" x14ac:dyDescent="0.35">
      <c r="B67" s="137" t="s">
        <v>110</v>
      </c>
      <c r="C67" s="138">
        <v>0</v>
      </c>
      <c r="D67" s="138">
        <v>0</v>
      </c>
      <c r="E67" s="138">
        <v>177</v>
      </c>
      <c r="F67" s="138">
        <v>460</v>
      </c>
      <c r="G67" s="138">
        <v>0</v>
      </c>
      <c r="H67" s="138">
        <v>99</v>
      </c>
      <c r="I67" s="138">
        <v>0</v>
      </c>
      <c r="J67" s="138">
        <v>188</v>
      </c>
      <c r="K67" s="138">
        <v>55</v>
      </c>
      <c r="L67" s="138">
        <v>286</v>
      </c>
      <c r="M67" s="138">
        <v>0</v>
      </c>
      <c r="N67" s="138">
        <v>0</v>
      </c>
    </row>
    <row r="68" spans="2:14" x14ac:dyDescent="0.35">
      <c r="B68" s="137" t="s">
        <v>111</v>
      </c>
      <c r="C68" s="138">
        <v>-15</v>
      </c>
      <c r="D68" s="138">
        <v>-3</v>
      </c>
      <c r="E68" s="138">
        <v>0</v>
      </c>
      <c r="F68" s="138">
        <v>-360</v>
      </c>
      <c r="G68" s="138">
        <v>-277</v>
      </c>
      <c r="H68" s="138">
        <v>0</v>
      </c>
      <c r="I68" s="138">
        <v>-99</v>
      </c>
      <c r="J68" s="138">
        <v>-188</v>
      </c>
      <c r="K68" s="138">
        <v>-55</v>
      </c>
      <c r="L68" s="138">
        <v>-208</v>
      </c>
      <c r="M68" s="138">
        <v>-85</v>
      </c>
      <c r="N68" s="138">
        <v>0</v>
      </c>
    </row>
    <row r="69" spans="2:14" x14ac:dyDescent="0.35">
      <c r="B69" s="137" t="s">
        <v>112</v>
      </c>
      <c r="C69" s="138">
        <v>-29</v>
      </c>
      <c r="D69" s="138">
        <v>-18</v>
      </c>
      <c r="E69" s="138">
        <v>-2</v>
      </c>
      <c r="F69" s="138">
        <v>-14</v>
      </c>
      <c r="G69" s="138">
        <v>-6</v>
      </c>
      <c r="H69" s="138">
        <v>-7</v>
      </c>
      <c r="I69" s="138">
        <v>-90</v>
      </c>
      <c r="J69" s="138">
        <v>-92</v>
      </c>
      <c r="K69" s="138">
        <v>-82</v>
      </c>
      <c r="L69" s="138">
        <v>-88</v>
      </c>
      <c r="M69" s="138">
        <v>-110</v>
      </c>
      <c r="N69" s="138">
        <v>-130</v>
      </c>
    </row>
    <row r="70" spans="2:14" x14ac:dyDescent="0.35">
      <c r="B70" s="137" t="s">
        <v>113</v>
      </c>
      <c r="C70" s="139">
        <v>-2481</v>
      </c>
      <c r="D70" s="139">
        <v>-2912</v>
      </c>
      <c r="E70" s="139">
        <v>-3354</v>
      </c>
      <c r="F70" s="139">
        <v>-3572</v>
      </c>
      <c r="G70" s="139">
        <v>-3911</v>
      </c>
      <c r="H70" s="139">
        <v>-4554</v>
      </c>
      <c r="I70" s="139">
        <v>-5196</v>
      </c>
      <c r="J70" s="139">
        <v>-8811</v>
      </c>
      <c r="K70" s="139">
        <v>-7526</v>
      </c>
      <c r="L70" s="139">
        <v>-8474</v>
      </c>
      <c r="M70" s="139">
        <v>-9416</v>
      </c>
      <c r="N70" s="139">
        <v>-12473</v>
      </c>
    </row>
    <row r="71" spans="2:14" x14ac:dyDescent="0.35">
      <c r="B71" s="137" t="s">
        <v>114</v>
      </c>
      <c r="C71" s="138">
        <v>0</v>
      </c>
      <c r="D71" s="138">
        <v>0</v>
      </c>
      <c r="E71" s="138">
        <v>0</v>
      </c>
      <c r="F71" s="138">
        <v>0</v>
      </c>
      <c r="G71" s="138">
        <v>0</v>
      </c>
      <c r="H71" s="138">
        <v>0</v>
      </c>
      <c r="I71" s="138">
        <v>-373</v>
      </c>
      <c r="J71" s="138">
        <v>-406</v>
      </c>
      <c r="K71" s="138">
        <v>-407</v>
      </c>
      <c r="L71" s="138">
        <v>-467</v>
      </c>
      <c r="M71" s="138">
        <v>-423</v>
      </c>
      <c r="N71" s="138">
        <v>-498</v>
      </c>
    </row>
    <row r="72" spans="2:14" ht="15" thickBot="1" x14ac:dyDescent="0.4">
      <c r="B72" s="137" t="s">
        <v>115</v>
      </c>
      <c r="C72" s="138">
        <v>-437</v>
      </c>
      <c r="D72" s="138">
        <v>-533</v>
      </c>
      <c r="E72" s="138">
        <v>-685</v>
      </c>
      <c r="F72" s="138">
        <v>-728</v>
      </c>
      <c r="G72" s="138">
        <v>-781</v>
      </c>
      <c r="H72" s="138">
        <v>-928</v>
      </c>
      <c r="I72" s="139">
        <v>-1061</v>
      </c>
      <c r="J72" s="138">
        <v>0</v>
      </c>
      <c r="K72" s="138">
        <v>0</v>
      </c>
      <c r="L72" s="138">
        <v>-2</v>
      </c>
      <c r="M72" s="138">
        <v>0</v>
      </c>
      <c r="N72" s="138">
        <v>0</v>
      </c>
    </row>
    <row r="73" spans="2:14" x14ac:dyDescent="0.35">
      <c r="B73" s="141" t="s">
        <v>20</v>
      </c>
      <c r="C73" s="142">
        <v>383</v>
      </c>
      <c r="D73" s="142">
        <v>-33</v>
      </c>
      <c r="E73" s="142">
        <v>25</v>
      </c>
      <c r="F73" s="142">
        <v>-202</v>
      </c>
      <c r="G73" s="142">
        <v>21</v>
      </c>
      <c r="H73" s="142">
        <v>-28</v>
      </c>
      <c r="I73" s="143">
        <v>2595</v>
      </c>
      <c r="J73" s="143">
        <v>-1374</v>
      </c>
      <c r="K73" s="142">
        <v>-695</v>
      </c>
      <c r="L73" s="142">
        <v>-446</v>
      </c>
      <c r="M73" s="142">
        <v>111</v>
      </c>
      <c r="N73" s="143">
        <v>5258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FB8D9A-9A24-407C-85B0-F521443C58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DCF&gt;</vt:lpstr>
      <vt:lpstr>WACC</vt:lpstr>
      <vt:lpstr>Data&gt;</vt:lpstr>
      <vt:lpstr>Beta - Regression</vt:lpstr>
      <vt:lpstr>Beta - Comps</vt:lpstr>
      <vt:lpstr>RM</vt:lpstr>
      <vt:lpstr>Intrinsic Growth</vt:lpstr>
      <vt:lpstr>DCF</vt:lpstr>
      <vt:lpstr>Data Sheet</vt:lpstr>
      <vt:lpstr>Historical FS</vt:lpstr>
      <vt:lpstr>Ratio Analysis</vt:lpstr>
      <vt:lpstr>Forecasting</vt:lpstr>
      <vt:lpstr>Data Room&gt;</vt:lpstr>
      <vt:lpstr>Raw FS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adilwali7435@outlook.com</cp:lastModifiedBy>
  <cp:lastPrinted>2026-02-27T09:53:32Z</cp:lastPrinted>
  <dcterms:created xsi:type="dcterms:W3CDTF">2012-08-17T09:55:37Z</dcterms:created>
  <dcterms:modified xsi:type="dcterms:W3CDTF">2026-02-28T13:11:01Z</dcterms:modified>
</cp:coreProperties>
</file>